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\Documents\esosim\src\data\"/>
    </mc:Choice>
  </mc:AlternateContent>
  <xr:revisionPtr revIDLastSave="0" documentId="13_ncr:1_{04F8C720-C453-4DFE-841B-5E6A2A3928B6}" xr6:coauthVersionLast="47" xr6:coauthVersionMax="47" xr10:uidLastSave="{00000000-0000-0000-0000-000000000000}"/>
  <bookViews>
    <workbookView xWindow="-120" yWindow="-120" windowWidth="29040" windowHeight="16440" xr2:uid="{4D28316D-DD0D-4979-BD1E-D9F4E74670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6" i="1" l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G60" i="1"/>
  <c r="I60" i="1"/>
  <c r="K60" i="1" s="1"/>
  <c r="F60" i="1"/>
  <c r="H60" i="1"/>
  <c r="J58" i="1"/>
  <c r="J59" i="1"/>
  <c r="J60" i="1"/>
  <c r="H58" i="1"/>
  <c r="I58" i="1"/>
  <c r="K58" i="1" s="1"/>
  <c r="I57" i="1"/>
  <c r="H57" i="1"/>
  <c r="J57" i="1"/>
  <c r="I54" i="1"/>
  <c r="K54" i="1" s="1"/>
  <c r="I53" i="1"/>
  <c r="K53" i="1" s="1"/>
  <c r="H54" i="1"/>
  <c r="J54" i="1" s="1"/>
  <c r="H53" i="1"/>
  <c r="J53" i="1" s="1"/>
  <c r="I50" i="1"/>
  <c r="H50" i="1"/>
  <c r="J50" i="1" s="1"/>
  <c r="I48" i="1"/>
  <c r="H48" i="1"/>
  <c r="J48" i="1"/>
  <c r="I44" i="1"/>
  <c r="H44" i="1"/>
  <c r="J44" i="1" s="1"/>
  <c r="I42" i="1"/>
  <c r="K42" i="1" s="1"/>
  <c r="H42" i="1"/>
  <c r="J42" i="1" s="1"/>
  <c r="I40" i="1"/>
  <c r="K40" i="1" s="1"/>
  <c r="H40" i="1"/>
  <c r="J40" i="1" s="1"/>
  <c r="I38" i="1"/>
  <c r="H38" i="1"/>
  <c r="J38" i="1" s="1"/>
  <c r="I36" i="1"/>
  <c r="K36" i="1" s="1"/>
  <c r="H36" i="1"/>
  <c r="J36" i="1" s="1"/>
  <c r="I34" i="1"/>
  <c r="H34" i="1"/>
  <c r="J34" i="1" s="1"/>
  <c r="K33" i="1"/>
  <c r="K34" i="1"/>
  <c r="K35" i="1"/>
  <c r="K37" i="1"/>
  <c r="K38" i="1"/>
  <c r="K39" i="1"/>
  <c r="K41" i="1"/>
  <c r="K43" i="1"/>
  <c r="K44" i="1"/>
  <c r="K45" i="1"/>
  <c r="K46" i="1"/>
  <c r="K47" i="1"/>
  <c r="K48" i="1"/>
  <c r="K49" i="1"/>
  <c r="K50" i="1"/>
  <c r="K51" i="1"/>
  <c r="K52" i="1"/>
  <c r="K55" i="1"/>
  <c r="K56" i="1"/>
  <c r="K57" i="1"/>
  <c r="K59" i="1"/>
  <c r="K31" i="1"/>
  <c r="K32" i="1"/>
  <c r="I32" i="1"/>
  <c r="H32" i="1"/>
  <c r="J32" i="1" s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E28" i="1"/>
  <c r="D28" i="1"/>
  <c r="E26" i="1"/>
  <c r="D26" i="1"/>
  <c r="E24" i="1"/>
  <c r="D24" i="1"/>
  <c r="E22" i="1"/>
  <c r="D22" i="1"/>
  <c r="E20" i="1"/>
  <c r="D20" i="1"/>
  <c r="E16" i="1"/>
  <c r="D16" i="1"/>
  <c r="E12" i="1"/>
  <c r="D12" i="1"/>
  <c r="E14" i="1"/>
  <c r="D14" i="1"/>
  <c r="E10" i="1"/>
  <c r="D10" i="1"/>
  <c r="E8" i="1"/>
  <c r="D8" i="1"/>
  <c r="I8" i="1" s="1"/>
  <c r="E6" i="1"/>
  <c r="D6" i="1"/>
  <c r="D4" i="1"/>
  <c r="E4" i="1"/>
  <c r="E18" i="1"/>
  <c r="D18" i="1"/>
  <c r="G59" i="1"/>
  <c r="F59" i="1"/>
  <c r="D27" i="1"/>
  <c r="E27" i="1"/>
  <c r="D31" i="1"/>
  <c r="I41" i="1"/>
  <c r="E31" i="1"/>
  <c r="E30" i="1"/>
  <c r="D30" i="1"/>
  <c r="E2" i="1"/>
  <c r="D2" i="1"/>
  <c r="E5" i="1"/>
  <c r="E7" i="1"/>
  <c r="E9" i="1"/>
  <c r="E11" i="1"/>
  <c r="E13" i="1"/>
  <c r="E15" i="1"/>
  <c r="E17" i="1"/>
  <c r="E19" i="1"/>
  <c r="E21" i="1"/>
  <c r="E23" i="1"/>
  <c r="E25" i="1"/>
  <c r="E3" i="1"/>
  <c r="D5" i="1"/>
  <c r="D7" i="1"/>
  <c r="D9" i="1"/>
  <c r="D11" i="1"/>
  <c r="D13" i="1"/>
  <c r="D15" i="1"/>
  <c r="D17" i="1"/>
  <c r="D19" i="1"/>
  <c r="D21" i="1"/>
  <c r="D23" i="1"/>
  <c r="D25" i="1"/>
  <c r="D3" i="1"/>
  <c r="I47" i="1" l="1"/>
  <c r="I46" i="1"/>
  <c r="I49" i="1"/>
  <c r="H16" i="1"/>
  <c r="J16" i="1" s="1"/>
  <c r="H14" i="1"/>
  <c r="J14" i="1" s="1"/>
  <c r="H12" i="1"/>
  <c r="J12" i="1" s="1"/>
  <c r="I59" i="1"/>
  <c r="I20" i="1"/>
  <c r="H18" i="1"/>
  <c r="I24" i="1"/>
  <c r="K24" i="1" s="1"/>
  <c r="I52" i="1"/>
  <c r="I11" i="1"/>
  <c r="I10" i="1"/>
  <c r="K10" i="1" s="1"/>
  <c r="I37" i="1"/>
  <c r="I39" i="1"/>
  <c r="I21" i="1"/>
  <c r="K21" i="1" s="1"/>
  <c r="I17" i="1"/>
  <c r="K17" i="1" s="1"/>
  <c r="H24" i="1"/>
  <c r="J24" i="1" s="1"/>
  <c r="H2" i="1"/>
  <c r="J2" i="1" s="1"/>
  <c r="I55" i="1"/>
  <c r="I26" i="1"/>
  <c r="K26" i="1" s="1"/>
  <c r="I30" i="1"/>
  <c r="K30" i="1" s="1"/>
  <c r="I51" i="1"/>
  <c r="I45" i="1"/>
  <c r="I43" i="1"/>
  <c r="I56" i="1"/>
  <c r="H6" i="1"/>
  <c r="J6" i="1" s="1"/>
  <c r="J18" i="1"/>
  <c r="I12" i="1"/>
  <c r="M12" i="1" s="1"/>
  <c r="N12" i="1" s="1"/>
  <c r="I22" i="1"/>
  <c r="K22" i="1" s="1"/>
  <c r="K20" i="1"/>
  <c r="I18" i="1"/>
  <c r="K18" i="1" s="1"/>
  <c r="I16" i="1"/>
  <c r="K16" i="1" s="1"/>
  <c r="I35" i="1"/>
  <c r="I14" i="1"/>
  <c r="K14" i="1" s="1"/>
  <c r="H10" i="1"/>
  <c r="I33" i="1"/>
  <c r="I9" i="1"/>
  <c r="K9" i="1" s="1"/>
  <c r="H26" i="1"/>
  <c r="I7" i="1"/>
  <c r="K7" i="1" s="1"/>
  <c r="H20" i="1"/>
  <c r="K8" i="1"/>
  <c r="I6" i="1"/>
  <c r="K6" i="1"/>
  <c r="H15" i="1"/>
  <c r="I4" i="1"/>
  <c r="H17" i="1"/>
  <c r="K4" i="1"/>
  <c r="I2" i="1"/>
  <c r="H11" i="1"/>
  <c r="I31" i="1"/>
  <c r="H13" i="1"/>
  <c r="J13" i="1" s="1"/>
  <c r="H8" i="1"/>
  <c r="H27" i="1"/>
  <c r="I5" i="1"/>
  <c r="K5" i="1" s="1"/>
  <c r="I3" i="1"/>
  <c r="K3" i="1" s="1"/>
  <c r="H23" i="1"/>
  <c r="I27" i="1"/>
  <c r="K27" i="1" s="1"/>
  <c r="H25" i="1"/>
  <c r="I25" i="1"/>
  <c r="K25" i="1" s="1"/>
  <c r="I23" i="1"/>
  <c r="K23" i="1" s="1"/>
  <c r="H21" i="1"/>
  <c r="K11" i="1"/>
  <c r="I19" i="1"/>
  <c r="K19" i="1" s="1"/>
  <c r="H19" i="1"/>
  <c r="I15" i="1"/>
  <c r="K15" i="1" s="1"/>
  <c r="I13" i="1"/>
  <c r="K13" i="1" s="1"/>
  <c r="H28" i="1"/>
  <c r="I28" i="1"/>
  <c r="K28" i="1" s="1"/>
  <c r="H22" i="1"/>
  <c r="H4" i="1"/>
  <c r="J4" i="1" s="1"/>
  <c r="H35" i="1"/>
  <c r="J35" i="1" s="1"/>
  <c r="H46" i="1"/>
  <c r="J46" i="1" s="1"/>
  <c r="H41" i="1"/>
  <c r="J41" i="1" s="1"/>
  <c r="H56" i="1"/>
  <c r="H30" i="1"/>
  <c r="J30" i="1" s="1"/>
  <c r="H45" i="1"/>
  <c r="H39" i="1"/>
  <c r="H43" i="1"/>
  <c r="J43" i="1" s="1"/>
  <c r="H33" i="1"/>
  <c r="H31" i="1"/>
  <c r="H47" i="1"/>
  <c r="J47" i="1" s="1"/>
  <c r="H49" i="1"/>
  <c r="H52" i="1"/>
  <c r="J52" i="1" s="1"/>
  <c r="H51" i="1"/>
  <c r="H55" i="1"/>
  <c r="J55" i="1" s="1"/>
  <c r="H59" i="1"/>
  <c r="H3" i="1"/>
  <c r="H37" i="1"/>
  <c r="H7" i="1"/>
  <c r="H5" i="1"/>
  <c r="H9" i="1"/>
  <c r="M20" i="1" l="1"/>
  <c r="N20" i="1" s="1"/>
  <c r="M2" i="1"/>
  <c r="N2" i="1" s="1"/>
  <c r="M17" i="1"/>
  <c r="O17" i="1" s="1"/>
  <c r="M14" i="1"/>
  <c r="N14" i="1" s="1"/>
  <c r="M11" i="1"/>
  <c r="O11" i="1" s="1"/>
  <c r="M24" i="1"/>
  <c r="O24" i="1" s="1"/>
  <c r="N17" i="1"/>
  <c r="O20" i="1"/>
  <c r="J11" i="1"/>
  <c r="K12" i="1"/>
  <c r="M4" i="1"/>
  <c r="M6" i="1"/>
  <c r="O6" i="1" s="1"/>
  <c r="K2" i="1"/>
  <c r="M13" i="1"/>
  <c r="N13" i="1" s="1"/>
  <c r="J20" i="1"/>
  <c r="O14" i="1"/>
  <c r="J19" i="1"/>
  <c r="M19" i="1"/>
  <c r="J7" i="1"/>
  <c r="M7" i="1"/>
  <c r="J8" i="1"/>
  <c r="M8" i="1"/>
  <c r="J10" i="1"/>
  <c r="M10" i="1"/>
  <c r="J9" i="1"/>
  <c r="M9" i="1"/>
  <c r="N11" i="1"/>
  <c r="J21" i="1"/>
  <c r="M21" i="1"/>
  <c r="J3" i="1"/>
  <c r="M3" i="1"/>
  <c r="J25" i="1"/>
  <c r="M25" i="1"/>
  <c r="J26" i="1"/>
  <c r="M26" i="1"/>
  <c r="O12" i="1"/>
  <c r="J22" i="1"/>
  <c r="M22" i="1"/>
  <c r="J23" i="1"/>
  <c r="M23" i="1"/>
  <c r="J15" i="1"/>
  <c r="M15" i="1"/>
  <c r="M16" i="1"/>
  <c r="J5" i="1"/>
  <c r="M5" i="1"/>
  <c r="M18" i="1"/>
  <c r="J28" i="1"/>
  <c r="M28" i="1"/>
  <c r="J17" i="1"/>
  <c r="J27" i="1"/>
  <c r="M27" i="1"/>
  <c r="J56" i="1"/>
  <c r="J39" i="1"/>
  <c r="J31" i="1"/>
  <c r="J33" i="1"/>
  <c r="J51" i="1"/>
  <c r="J45" i="1"/>
  <c r="J49" i="1"/>
  <c r="J37" i="1"/>
  <c r="O2" i="1" l="1"/>
  <c r="N6" i="1"/>
  <c r="N24" i="1"/>
  <c r="O13" i="1"/>
  <c r="N4" i="1"/>
  <c r="O4" i="1"/>
  <c r="N22" i="1"/>
  <c r="O22" i="1"/>
  <c r="N19" i="1"/>
  <c r="O19" i="1"/>
  <c r="N9" i="1"/>
  <c r="O9" i="1"/>
  <c r="N10" i="1"/>
  <c r="O10" i="1"/>
  <c r="N7" i="1"/>
  <c r="O7" i="1"/>
  <c r="O25" i="1"/>
  <c r="N25" i="1"/>
  <c r="N3" i="1"/>
  <c r="O3" i="1"/>
  <c r="N23" i="1"/>
  <c r="O23" i="1"/>
  <c r="O26" i="1"/>
  <c r="N26" i="1"/>
  <c r="O18" i="1"/>
  <c r="N18" i="1"/>
  <c r="N8" i="1"/>
  <c r="O8" i="1"/>
  <c r="O27" i="1"/>
  <c r="N27" i="1"/>
  <c r="N28" i="1"/>
  <c r="O28" i="1"/>
  <c r="N5" i="1"/>
  <c r="O5" i="1"/>
  <c r="N21" i="1"/>
  <c r="O21" i="1"/>
  <c r="O16" i="1"/>
  <c r="N16" i="1"/>
  <c r="N15" i="1"/>
  <c r="O15" i="1"/>
</calcChain>
</file>

<file path=xl/sharedStrings.xml><?xml version="1.0" encoding="utf-8"?>
<sst xmlns="http://schemas.openxmlformats.org/spreadsheetml/2006/main" count="75" uniqueCount="48">
  <si>
    <t>+Power</t>
  </si>
  <si>
    <t>Weapon Name</t>
  </si>
  <si>
    <t>Max Resource</t>
  </si>
  <si>
    <t>Iron Axe</t>
  </si>
  <si>
    <t>Iron Battle Axe</t>
  </si>
  <si>
    <t>Iron Dagger</t>
  </si>
  <si>
    <t>Iron Greatsword</t>
  </si>
  <si>
    <t>Iron Mace</t>
  </si>
  <si>
    <t>Iron Maul</t>
  </si>
  <si>
    <t>Iron Sword</t>
  </si>
  <si>
    <t>Maple Bow</t>
  </si>
  <si>
    <t>Maple Inferno</t>
  </si>
  <si>
    <t>Maple Ice</t>
  </si>
  <si>
    <t>Maple Lightning</t>
  </si>
  <si>
    <t>Maple Restoration</t>
  </si>
  <si>
    <t>Calc Power</t>
  </si>
  <si>
    <t>Damage</t>
  </si>
  <si>
    <t>Damage with Vuln</t>
  </si>
  <si>
    <t>Calculated Coefficient</t>
  </si>
  <si>
    <t>Armor</t>
  </si>
  <si>
    <t>Unarmed</t>
  </si>
  <si>
    <t>Check</t>
  </si>
  <si>
    <t>Check w/ Vuln</t>
  </si>
  <si>
    <t>HEAVY ATTACKS</t>
  </si>
  <si>
    <t>Lightning Tick (DOT)</t>
  </si>
  <si>
    <t>Restoration Tick (DOT)</t>
  </si>
  <si>
    <t>Dual Wield</t>
  </si>
  <si>
    <t>Ruby Ash Bow</t>
  </si>
  <si>
    <t>Rubedite Axe</t>
  </si>
  <si>
    <t>Rubedite Battle Axe</t>
  </si>
  <si>
    <t>Rubedite Dagger</t>
  </si>
  <si>
    <t>Rubedite Greatsword</t>
  </si>
  <si>
    <t>Rubedite Mace</t>
  </si>
  <si>
    <t>Rubedite Maul</t>
  </si>
  <si>
    <t>Rubedite Sword</t>
  </si>
  <si>
    <t>Ruby Ash Ice</t>
  </si>
  <si>
    <t>Ruby Ash Inferno</t>
  </si>
  <si>
    <t>Ruby Ash Lightning</t>
  </si>
  <si>
    <t>Ruby Ash Restoration</t>
  </si>
  <si>
    <t>Rubedite Dual Wield</t>
  </si>
  <si>
    <t>Ruby Lightning Tick (DOT)</t>
  </si>
  <si>
    <t>Ruby Restoration Tick (DOT)</t>
  </si>
  <si>
    <t>Average Coefficient</t>
  </si>
  <si>
    <t>New coeff check</t>
  </si>
  <si>
    <t>New coeff check w/ vuln</t>
  </si>
  <si>
    <t>// {[Weapon/Spell Dmg+(Max Resource/10.5)]+Flat Increases}* Enemy Dmg Taken * Dmg Done * Dmg Done to Monster * Armor Reduction (if not at pen cap) * Crit dmg (if it's a critical strike)</t>
  </si>
  <si>
    <t>Dual wield HA example using H60</t>
  </si>
  <si>
    <t>Correct with ground truth of 1582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</si>
</sst>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7" formatCode="0.00000"/>
  </numFmts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6A9955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quotePrefix="1"/>
    <xf numFmtId="2" fontId="0" fillId="0" borderId="0" xfId="0" applyNumberFormat="1"/>
    <xf numFmtId="1" fontId="0" fillId="0" borderId="0" xfId="0" applyNumberFormat="1"/>
    <xf numFmtId="167" fontId="0" fillId="0" borderId="0" xfId="0" applyNumberFormat="1"/>
    <xf numFmtId="0" fontId="1" fillId="2" borderId="0" xfId="0" applyFont="1" applyFill="1"/>
    <xf numFmtId="0" fontId="0" fillId="2" borderId="0" xfId="0" applyFill="1"/>
    <xf numFmtId="2" fontId="0" fillId="2" borderId="0" xfId="0" applyNumberFormat="1" applyFill="1"/>
    <xf numFmtId="164" fontId="0" fillId="2" borderId="0" xfId="0" applyNumberFormat="1" applyFill="1"/>
    <xf numFmtId="164" fontId="0" fillId="0" borderId="0" xfId="0" applyNumberFormat="1" applyFill="1"/>
    <xf numFmtId="167" fontId="0" fillId="2" borderId="0" xfId="0" applyNumberFormat="1" applyFill="1"/>
    <xf numFmtId="1" fontId="0" fillId="2" borderId="0" xfId="0" applyNumberFormat="1" applyFill="1"/>
    <xf numFmtId="0" fontId="2" fillId="0" borderId="0" xfId="0" applyFont="1" applyAlignment="1">
      <alignment vertical="center"/>
    </xf>
    <xf numFmtId="167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0A389-6D7F-4510-A251-9F59FE89D153}">
  <dimension ref="A1:O67"/>
  <sheetViews>
    <sheetView tabSelected="1" workbookViewId="0">
      <selection activeCell="G62" sqref="G62"/>
    </sheetView>
  </sheetViews>
  <sheetFormatPr defaultRowHeight="15" x14ac:dyDescent="0.25"/>
  <cols>
    <col min="1" max="1" width="19.28515625" customWidth="1"/>
    <col min="4" max="4" width="9.5703125" bestFit="1" customWidth="1"/>
    <col min="5" max="5" width="9.5703125" customWidth="1"/>
    <col min="6" max="6" width="13.140625" customWidth="1"/>
    <col min="7" max="7" width="17.42578125" customWidth="1"/>
    <col min="8" max="9" width="20.5703125" customWidth="1"/>
    <col min="13" max="13" width="17.85546875" bestFit="1" customWidth="1"/>
    <col min="15" max="15" width="9.5703125" bestFit="1" customWidth="1"/>
  </cols>
  <sheetData>
    <row r="1" spans="1:15" x14ac:dyDescent="0.25">
      <c r="A1" t="s">
        <v>1</v>
      </c>
      <c r="B1" s="1" t="s">
        <v>0</v>
      </c>
      <c r="C1" t="s">
        <v>2</v>
      </c>
      <c r="D1" t="s">
        <v>15</v>
      </c>
      <c r="E1" t="s">
        <v>19</v>
      </c>
      <c r="F1" t="s">
        <v>16</v>
      </c>
      <c r="G1" t="s">
        <v>17</v>
      </c>
      <c r="H1" t="s">
        <v>18</v>
      </c>
      <c r="J1" t="s">
        <v>21</v>
      </c>
      <c r="K1" t="s">
        <v>22</v>
      </c>
      <c r="M1" t="s">
        <v>42</v>
      </c>
      <c r="N1" t="s">
        <v>43</v>
      </c>
      <c r="O1" t="s">
        <v>44</v>
      </c>
    </row>
    <row r="2" spans="1:15" x14ac:dyDescent="0.25">
      <c r="A2" t="s">
        <v>20</v>
      </c>
      <c r="B2" s="1">
        <v>0</v>
      </c>
      <c r="C2">
        <v>12000</v>
      </c>
      <c r="D2" s="2">
        <f>ROUND((1000+B2)+(C2/10.5), 0)</f>
        <v>2143</v>
      </c>
      <c r="E2" s="4">
        <f>(18200/33000) * 0.5</f>
        <v>0.27575757575757576</v>
      </c>
      <c r="F2">
        <v>715</v>
      </c>
      <c r="G2">
        <v>750</v>
      </c>
      <c r="H2" s="9">
        <f>F2/(D2*E2)</f>
        <v>1.2099193387107525</v>
      </c>
      <c r="I2" s="9">
        <f>G2/(D2*E2*1.05)</f>
        <v>1.2087106280826698</v>
      </c>
      <c r="J2" s="3">
        <f>D2*H2*E2</f>
        <v>715</v>
      </c>
      <c r="K2">
        <f>D2*1.05*I2*E2</f>
        <v>750</v>
      </c>
      <c r="M2" s="13">
        <f>(H2+I2)/2</f>
        <v>1.2093149833967112</v>
      </c>
      <c r="N2" s="3">
        <f>D2*M2*E2</f>
        <v>714.64285714285711</v>
      </c>
      <c r="O2" s="3">
        <f>D2*M2*E2*1.05</f>
        <v>750.375</v>
      </c>
    </row>
    <row r="3" spans="1:15" hidden="1" x14ac:dyDescent="0.25">
      <c r="A3" t="s">
        <v>3</v>
      </c>
      <c r="B3">
        <v>168</v>
      </c>
      <c r="C3">
        <v>12000</v>
      </c>
      <c r="D3" s="2">
        <f>(1000+B3)+(C3/10.5)</f>
        <v>2310.8571428571431</v>
      </c>
      <c r="E3" s="4">
        <f>(18200/33000) * 0.5</f>
        <v>0.27575757575757576</v>
      </c>
      <c r="F3">
        <v>771</v>
      </c>
      <c r="G3">
        <v>810</v>
      </c>
      <c r="H3" s="9">
        <f t="shared" ref="H3:H28" si="0">F3/(D3*E3)</f>
        <v>1.2099121205204288</v>
      </c>
      <c r="I3" s="9">
        <f t="shared" ref="I3:I60" si="1">G3/(D3*E3*1.05)</f>
        <v>1.210584667557961</v>
      </c>
      <c r="J3" s="3">
        <f t="shared" ref="J3:J28" si="2">D3*H3*E3</f>
        <v>770.99999999999989</v>
      </c>
      <c r="K3">
        <f t="shared" ref="K3:K28" si="3">D3*1.05*I3*E3</f>
        <v>809.99999999999989</v>
      </c>
      <c r="M3" s="13">
        <f t="shared" ref="M3:M60" si="4">(H3+I3)/2</f>
        <v>1.210248394039195</v>
      </c>
      <c r="N3" s="3">
        <f t="shared" ref="N3:O29" si="5">D3*M3*E3</f>
        <v>771.21428571428567</v>
      </c>
      <c r="O3" s="3">
        <f t="shared" ref="O3:O60" si="6">D3*M3*E3*1.05</f>
        <v>809.77499999999998</v>
      </c>
    </row>
    <row r="4" spans="1:15" x14ac:dyDescent="0.25">
      <c r="A4" t="s">
        <v>28</v>
      </c>
      <c r="B4">
        <v>1025</v>
      </c>
      <c r="C4">
        <v>12000</v>
      </c>
      <c r="D4" s="2">
        <f>(1000+B4)+(C4/10.5)</f>
        <v>3167.8571428571431</v>
      </c>
      <c r="E4" s="4">
        <f>(18200/33000) * 0.5</f>
        <v>0.27575757575757576</v>
      </c>
      <c r="F4">
        <v>1058</v>
      </c>
      <c r="G4">
        <v>1110</v>
      </c>
      <c r="H4" s="9">
        <f t="shared" ref="H4" si="7">F4/(D4*E4)</f>
        <v>1.2111352007631602</v>
      </c>
      <c r="I4" s="9">
        <f t="shared" si="1"/>
        <v>1.2101539948214128</v>
      </c>
      <c r="J4" s="3">
        <f t="shared" si="2"/>
        <v>1058</v>
      </c>
      <c r="K4">
        <f t="shared" si="3"/>
        <v>1110</v>
      </c>
      <c r="M4" s="13">
        <f t="shared" si="4"/>
        <v>1.2106445977922866</v>
      </c>
      <c r="N4" s="3">
        <f t="shared" si="5"/>
        <v>1057.5714285714287</v>
      </c>
      <c r="O4" s="3">
        <f t="shared" si="6"/>
        <v>1110.45</v>
      </c>
    </row>
    <row r="5" spans="1:15" hidden="1" x14ac:dyDescent="0.25">
      <c r="A5" t="s">
        <v>4</v>
      </c>
      <c r="B5">
        <v>198</v>
      </c>
      <c r="C5">
        <v>12000</v>
      </c>
      <c r="D5" s="2">
        <f t="shared" ref="D5:D25" si="8">(1000+B5)+(C5/10.5)</f>
        <v>2340.8571428571431</v>
      </c>
      <c r="E5" s="4">
        <f t="shared" ref="E5:E28" si="9">(18200/33000) * 0.5</f>
        <v>0.27575757575757576</v>
      </c>
      <c r="F5">
        <v>781</v>
      </c>
      <c r="G5">
        <v>820</v>
      </c>
      <c r="H5" s="9">
        <f t="shared" si="0"/>
        <v>1.2098977551192855</v>
      </c>
      <c r="I5" s="9">
        <f t="shared" si="1"/>
        <v>1.2098239853640802</v>
      </c>
      <c r="J5" s="3">
        <f t="shared" si="2"/>
        <v>781</v>
      </c>
      <c r="K5">
        <f t="shared" si="3"/>
        <v>820</v>
      </c>
      <c r="M5" s="13">
        <f t="shared" si="4"/>
        <v>1.2098608702416829</v>
      </c>
      <c r="N5" s="3">
        <f t="shared" si="5"/>
        <v>780.97619047619037</v>
      </c>
      <c r="O5" s="3">
        <f t="shared" si="6"/>
        <v>820.02499999999998</v>
      </c>
    </row>
    <row r="6" spans="1:15" x14ac:dyDescent="0.25">
      <c r="A6" t="s">
        <v>29</v>
      </c>
      <c r="B6">
        <v>1206</v>
      </c>
      <c r="C6">
        <v>12000</v>
      </c>
      <c r="D6" s="2">
        <f t="shared" si="8"/>
        <v>3348.8571428571431</v>
      </c>
      <c r="E6" s="4">
        <f t="shared" si="9"/>
        <v>0.27575757575757576</v>
      </c>
      <c r="F6">
        <v>1118</v>
      </c>
      <c r="G6">
        <v>1174</v>
      </c>
      <c r="H6" s="9">
        <f t="shared" si="0"/>
        <v>1.2106475556693115</v>
      </c>
      <c r="I6" s="9">
        <f t="shared" si="1"/>
        <v>1.2107506860514281</v>
      </c>
      <c r="J6" s="3">
        <f t="shared" si="2"/>
        <v>1118</v>
      </c>
      <c r="K6">
        <f t="shared" si="3"/>
        <v>1174</v>
      </c>
      <c r="M6" s="13">
        <f t="shared" si="4"/>
        <v>1.2106991208603697</v>
      </c>
      <c r="N6" s="3">
        <f t="shared" si="5"/>
        <v>1118.0476190476188</v>
      </c>
      <c r="O6" s="3">
        <f t="shared" si="6"/>
        <v>1173.9499999999998</v>
      </c>
    </row>
    <row r="7" spans="1:15" hidden="1" x14ac:dyDescent="0.25">
      <c r="A7" t="s">
        <v>5</v>
      </c>
      <c r="B7">
        <v>168</v>
      </c>
      <c r="C7">
        <v>12000</v>
      </c>
      <c r="D7" s="2">
        <f t="shared" si="8"/>
        <v>2310.8571428571431</v>
      </c>
      <c r="E7" s="4">
        <f t="shared" si="9"/>
        <v>0.27575757575757576</v>
      </c>
      <c r="F7">
        <v>771</v>
      </c>
      <c r="G7">
        <v>810</v>
      </c>
      <c r="H7" s="9">
        <f t="shared" si="0"/>
        <v>1.2099121205204288</v>
      </c>
      <c r="I7" s="9">
        <f t="shared" si="1"/>
        <v>1.210584667557961</v>
      </c>
      <c r="J7" s="3">
        <f t="shared" si="2"/>
        <v>770.99999999999989</v>
      </c>
      <c r="K7">
        <f t="shared" si="3"/>
        <v>809.99999999999989</v>
      </c>
      <c r="M7" s="13">
        <f t="shared" si="4"/>
        <v>1.210248394039195</v>
      </c>
      <c r="N7" s="3">
        <f t="shared" si="5"/>
        <v>771.21428571428567</v>
      </c>
      <c r="O7" s="3">
        <f t="shared" si="6"/>
        <v>809.77499999999998</v>
      </c>
    </row>
    <row r="8" spans="1:15" x14ac:dyDescent="0.25">
      <c r="A8" t="s">
        <v>30</v>
      </c>
      <c r="B8">
        <v>1025</v>
      </c>
      <c r="C8">
        <v>12000</v>
      </c>
      <c r="D8" s="2">
        <f t="shared" si="8"/>
        <v>3167.8571428571431</v>
      </c>
      <c r="E8" s="4">
        <f t="shared" si="9"/>
        <v>0.27575757575757576</v>
      </c>
      <c r="F8">
        <v>1058</v>
      </c>
      <c r="G8">
        <v>1110</v>
      </c>
      <c r="H8" s="9">
        <f t="shared" si="0"/>
        <v>1.2111352007631602</v>
      </c>
      <c r="I8" s="9">
        <f t="shared" si="1"/>
        <v>1.2101539948214128</v>
      </c>
      <c r="J8" s="3">
        <f t="shared" si="2"/>
        <v>1058</v>
      </c>
      <c r="K8">
        <f t="shared" si="3"/>
        <v>1110</v>
      </c>
      <c r="M8" s="13">
        <f t="shared" si="4"/>
        <v>1.2106445977922866</v>
      </c>
      <c r="N8" s="3">
        <f t="shared" si="5"/>
        <v>1057.5714285714287</v>
      </c>
      <c r="O8" s="3">
        <f t="shared" si="6"/>
        <v>1110.45</v>
      </c>
    </row>
    <row r="9" spans="1:15" hidden="1" x14ac:dyDescent="0.25">
      <c r="A9" t="s">
        <v>6</v>
      </c>
      <c r="B9">
        <v>198</v>
      </c>
      <c r="C9">
        <v>12000</v>
      </c>
      <c r="D9" s="2">
        <f t="shared" si="8"/>
        <v>2340.8571428571431</v>
      </c>
      <c r="E9" s="4">
        <f t="shared" si="9"/>
        <v>0.27575757575757576</v>
      </c>
      <c r="F9">
        <v>781</v>
      </c>
      <c r="G9">
        <v>820</v>
      </c>
      <c r="H9" s="9">
        <f t="shared" si="0"/>
        <v>1.2098977551192855</v>
      </c>
      <c r="I9" s="9">
        <f t="shared" si="1"/>
        <v>1.2098239853640802</v>
      </c>
      <c r="J9" s="3">
        <f t="shared" si="2"/>
        <v>781</v>
      </c>
      <c r="K9">
        <f t="shared" si="3"/>
        <v>820</v>
      </c>
      <c r="M9" s="13">
        <f t="shared" si="4"/>
        <v>1.2098608702416829</v>
      </c>
      <c r="N9" s="3">
        <f t="shared" si="5"/>
        <v>780.97619047619037</v>
      </c>
      <c r="O9" s="3">
        <f t="shared" si="6"/>
        <v>820.02499999999998</v>
      </c>
    </row>
    <row r="10" spans="1:15" x14ac:dyDescent="0.25">
      <c r="A10" t="s">
        <v>31</v>
      </c>
      <c r="B10">
        <v>1206</v>
      </c>
      <c r="C10">
        <v>12000</v>
      </c>
      <c r="D10" s="2">
        <f t="shared" ref="D10" si="10">(1000+B10)+(C10/10.5)</f>
        <v>3348.8571428571431</v>
      </c>
      <c r="E10" s="4">
        <f t="shared" si="9"/>
        <v>0.27575757575757576</v>
      </c>
      <c r="F10">
        <v>1118</v>
      </c>
      <c r="G10">
        <v>1174</v>
      </c>
      <c r="H10" s="9">
        <f t="shared" si="0"/>
        <v>1.2106475556693115</v>
      </c>
      <c r="I10" s="9">
        <f t="shared" si="1"/>
        <v>1.2107506860514281</v>
      </c>
      <c r="J10" s="3">
        <f t="shared" si="2"/>
        <v>1118</v>
      </c>
      <c r="K10">
        <f t="shared" si="3"/>
        <v>1174</v>
      </c>
      <c r="M10" s="13">
        <f t="shared" si="4"/>
        <v>1.2106991208603697</v>
      </c>
      <c r="N10" s="3">
        <f t="shared" si="5"/>
        <v>1118.0476190476188</v>
      </c>
      <c r="O10" s="3">
        <f t="shared" si="6"/>
        <v>1173.9499999999998</v>
      </c>
    </row>
    <row r="11" spans="1:15" hidden="1" x14ac:dyDescent="0.25">
      <c r="A11" t="s">
        <v>7</v>
      </c>
      <c r="B11">
        <v>168</v>
      </c>
      <c r="C11">
        <v>12000</v>
      </c>
      <c r="D11" s="2">
        <f t="shared" si="8"/>
        <v>2310.8571428571431</v>
      </c>
      <c r="E11" s="4">
        <f t="shared" si="9"/>
        <v>0.27575757575757576</v>
      </c>
      <c r="F11">
        <v>771</v>
      </c>
      <c r="G11">
        <v>810</v>
      </c>
      <c r="H11" s="9">
        <f t="shared" si="0"/>
        <v>1.2099121205204288</v>
      </c>
      <c r="I11" s="9">
        <f t="shared" si="1"/>
        <v>1.210584667557961</v>
      </c>
      <c r="J11" s="3">
        <f t="shared" si="2"/>
        <v>770.99999999999989</v>
      </c>
      <c r="K11">
        <f t="shared" si="3"/>
        <v>809.99999999999989</v>
      </c>
      <c r="M11" s="13">
        <f t="shared" si="4"/>
        <v>1.210248394039195</v>
      </c>
      <c r="N11" s="3">
        <f t="shared" si="5"/>
        <v>771.21428571428567</v>
      </c>
      <c r="O11" s="3">
        <f t="shared" si="6"/>
        <v>809.77499999999998</v>
      </c>
    </row>
    <row r="12" spans="1:15" x14ac:dyDescent="0.25">
      <c r="A12" t="s">
        <v>32</v>
      </c>
      <c r="B12">
        <v>1025</v>
      </c>
      <c r="C12">
        <v>12000</v>
      </c>
      <c r="D12" s="2">
        <f t="shared" ref="D12" si="11">(1000+B12)+(C12/10.5)</f>
        <v>3167.8571428571431</v>
      </c>
      <c r="E12" s="4">
        <f t="shared" si="9"/>
        <v>0.27575757575757576</v>
      </c>
      <c r="F12">
        <v>1058</v>
      </c>
      <c r="G12">
        <v>1110</v>
      </c>
      <c r="H12" s="9">
        <f t="shared" si="0"/>
        <v>1.2111352007631602</v>
      </c>
      <c r="I12" s="9">
        <f t="shared" si="1"/>
        <v>1.2101539948214128</v>
      </c>
      <c r="J12" s="3">
        <f t="shared" si="2"/>
        <v>1058</v>
      </c>
      <c r="K12">
        <f t="shared" si="3"/>
        <v>1110</v>
      </c>
      <c r="M12" s="13">
        <f t="shared" si="4"/>
        <v>1.2106445977922866</v>
      </c>
      <c r="N12" s="3">
        <f t="shared" si="5"/>
        <v>1057.5714285714287</v>
      </c>
      <c r="O12" s="3">
        <f t="shared" si="6"/>
        <v>1110.45</v>
      </c>
    </row>
    <row r="13" spans="1:15" hidden="1" x14ac:dyDescent="0.25">
      <c r="A13" t="s">
        <v>8</v>
      </c>
      <c r="B13">
        <v>198</v>
      </c>
      <c r="C13">
        <v>12000</v>
      </c>
      <c r="D13" s="2">
        <f t="shared" si="8"/>
        <v>2340.8571428571431</v>
      </c>
      <c r="E13" s="4">
        <f t="shared" si="9"/>
        <v>0.27575757575757576</v>
      </c>
      <c r="F13">
        <v>781</v>
      </c>
      <c r="G13">
        <v>820</v>
      </c>
      <c r="H13" s="9">
        <f t="shared" si="0"/>
        <v>1.2098977551192855</v>
      </c>
      <c r="I13" s="9">
        <f t="shared" si="1"/>
        <v>1.2098239853640802</v>
      </c>
      <c r="J13" s="3">
        <f t="shared" si="2"/>
        <v>781</v>
      </c>
      <c r="K13">
        <f t="shared" si="3"/>
        <v>820</v>
      </c>
      <c r="M13" s="13">
        <f t="shared" si="4"/>
        <v>1.2098608702416829</v>
      </c>
      <c r="N13" s="3">
        <f t="shared" si="5"/>
        <v>780.97619047619037</v>
      </c>
      <c r="O13" s="3">
        <f t="shared" si="6"/>
        <v>820.02499999999998</v>
      </c>
    </row>
    <row r="14" spans="1:15" x14ac:dyDescent="0.25">
      <c r="A14" t="s">
        <v>33</v>
      </c>
      <c r="B14">
        <v>1206</v>
      </c>
      <c r="C14">
        <v>12000</v>
      </c>
      <c r="D14" s="2">
        <f t="shared" ref="D14" si="12">(1000+B14)+(C14/10.5)</f>
        <v>3348.8571428571431</v>
      </c>
      <c r="E14" s="4">
        <f t="shared" si="9"/>
        <v>0.27575757575757576</v>
      </c>
      <c r="F14">
        <v>1118</v>
      </c>
      <c r="G14">
        <v>1174</v>
      </c>
      <c r="H14" s="9">
        <f t="shared" si="0"/>
        <v>1.2106475556693115</v>
      </c>
      <c r="I14" s="9">
        <f t="shared" si="1"/>
        <v>1.2107506860514281</v>
      </c>
      <c r="J14" s="3">
        <f t="shared" si="2"/>
        <v>1118</v>
      </c>
      <c r="K14">
        <f t="shared" si="3"/>
        <v>1174</v>
      </c>
      <c r="M14" s="13">
        <f t="shared" si="4"/>
        <v>1.2106991208603697</v>
      </c>
      <c r="N14" s="3">
        <f t="shared" si="5"/>
        <v>1118.0476190476188</v>
      </c>
      <c r="O14" s="3">
        <f t="shared" si="6"/>
        <v>1173.9499999999998</v>
      </c>
    </row>
    <row r="15" spans="1:15" hidden="1" x14ac:dyDescent="0.25">
      <c r="A15" t="s">
        <v>9</v>
      </c>
      <c r="B15">
        <v>168</v>
      </c>
      <c r="C15">
        <v>12000</v>
      </c>
      <c r="D15" s="2">
        <f t="shared" si="8"/>
        <v>2310.8571428571431</v>
      </c>
      <c r="E15" s="4">
        <f t="shared" si="9"/>
        <v>0.27575757575757576</v>
      </c>
      <c r="F15">
        <v>771</v>
      </c>
      <c r="G15">
        <v>810</v>
      </c>
      <c r="H15" s="9">
        <f t="shared" si="0"/>
        <v>1.2099121205204288</v>
      </c>
      <c r="I15" s="9">
        <f t="shared" si="1"/>
        <v>1.210584667557961</v>
      </c>
      <c r="J15" s="3">
        <f t="shared" si="2"/>
        <v>770.99999999999989</v>
      </c>
      <c r="K15">
        <f t="shared" si="3"/>
        <v>809.99999999999989</v>
      </c>
      <c r="M15" s="13">
        <f t="shared" si="4"/>
        <v>1.210248394039195</v>
      </c>
      <c r="N15" s="3">
        <f t="shared" si="5"/>
        <v>771.21428571428567</v>
      </c>
      <c r="O15" s="3">
        <f t="shared" si="6"/>
        <v>809.77499999999998</v>
      </c>
    </row>
    <row r="16" spans="1:15" x14ac:dyDescent="0.25">
      <c r="A16" t="s">
        <v>34</v>
      </c>
      <c r="B16">
        <v>1025</v>
      </c>
      <c r="C16">
        <v>12000</v>
      </c>
      <c r="D16" s="2">
        <f t="shared" ref="D16" si="13">(1000+B16)+(C16/10.5)</f>
        <v>3167.8571428571431</v>
      </c>
      <c r="E16" s="4">
        <f t="shared" si="9"/>
        <v>0.27575757575757576</v>
      </c>
      <c r="F16">
        <v>1058</v>
      </c>
      <c r="G16">
        <v>1110</v>
      </c>
      <c r="H16" s="9">
        <f t="shared" si="0"/>
        <v>1.2111352007631602</v>
      </c>
      <c r="I16" s="9">
        <f t="shared" si="1"/>
        <v>1.2101539948214128</v>
      </c>
      <c r="J16" s="3">
        <f t="shared" si="2"/>
        <v>1058</v>
      </c>
      <c r="K16">
        <f t="shared" si="3"/>
        <v>1110</v>
      </c>
      <c r="M16" s="13">
        <f t="shared" si="4"/>
        <v>1.2106445977922866</v>
      </c>
      <c r="N16" s="3">
        <f t="shared" si="5"/>
        <v>1057.5714285714287</v>
      </c>
      <c r="O16" s="3">
        <f t="shared" si="6"/>
        <v>1110.45</v>
      </c>
    </row>
    <row r="17" spans="1:15" hidden="1" x14ac:dyDescent="0.25">
      <c r="A17" t="s">
        <v>10</v>
      </c>
      <c r="B17">
        <v>168</v>
      </c>
      <c r="C17">
        <v>12000</v>
      </c>
      <c r="D17" s="2">
        <f t="shared" si="8"/>
        <v>2310.8571428571431</v>
      </c>
      <c r="E17" s="4">
        <f t="shared" si="9"/>
        <v>0.27575757575757576</v>
      </c>
      <c r="F17">
        <v>694</v>
      </c>
      <c r="G17">
        <v>729</v>
      </c>
      <c r="H17" s="9">
        <f t="shared" si="0"/>
        <v>1.0890778361104769</v>
      </c>
      <c r="I17" s="9">
        <f t="shared" si="1"/>
        <v>1.0895262008021649</v>
      </c>
      <c r="J17" s="3">
        <f t="shared" si="2"/>
        <v>693.99999999999989</v>
      </c>
      <c r="K17">
        <f t="shared" si="3"/>
        <v>729</v>
      </c>
      <c r="M17" s="13">
        <f t="shared" si="4"/>
        <v>1.0893020184563209</v>
      </c>
      <c r="N17" s="3">
        <f t="shared" si="5"/>
        <v>694.14285714285711</v>
      </c>
      <c r="O17" s="3">
        <f t="shared" si="6"/>
        <v>728.85</v>
      </c>
    </row>
    <row r="18" spans="1:15" x14ac:dyDescent="0.25">
      <c r="A18" t="s">
        <v>27</v>
      </c>
      <c r="B18">
        <v>1025</v>
      </c>
      <c r="C18">
        <v>12000</v>
      </c>
      <c r="D18" s="2">
        <f t="shared" si="8"/>
        <v>3167.8571428571431</v>
      </c>
      <c r="E18" s="4">
        <f t="shared" si="9"/>
        <v>0.27575757575757576</v>
      </c>
      <c r="F18">
        <v>951</v>
      </c>
      <c r="G18">
        <v>999</v>
      </c>
      <c r="H18" s="9">
        <f t="shared" si="0"/>
        <v>1.0886479923683983</v>
      </c>
      <c r="I18" s="9">
        <f t="shared" si="1"/>
        <v>1.0891385953392716</v>
      </c>
      <c r="J18" s="3">
        <f t="shared" si="2"/>
        <v>951.00000000000011</v>
      </c>
      <c r="K18">
        <f t="shared" si="3"/>
        <v>999</v>
      </c>
      <c r="M18" s="13">
        <f t="shared" si="4"/>
        <v>1.0888932938538349</v>
      </c>
      <c r="N18" s="3">
        <f t="shared" si="5"/>
        <v>951.21428571428578</v>
      </c>
      <c r="O18" s="3">
        <f t="shared" si="6"/>
        <v>998.77500000000009</v>
      </c>
    </row>
    <row r="19" spans="1:15" hidden="1" x14ac:dyDescent="0.25">
      <c r="A19" t="s">
        <v>12</v>
      </c>
      <c r="B19">
        <v>168</v>
      </c>
      <c r="C19">
        <v>12000</v>
      </c>
      <c r="D19" s="2">
        <f t="shared" si="8"/>
        <v>2310.8571428571431</v>
      </c>
      <c r="E19" s="4">
        <f t="shared" si="9"/>
        <v>0.27575757575757576</v>
      </c>
      <c r="F19">
        <v>694</v>
      </c>
      <c r="G19">
        <v>729</v>
      </c>
      <c r="H19" s="9">
        <f t="shared" si="0"/>
        <v>1.0890778361104769</v>
      </c>
      <c r="I19" s="9">
        <f t="shared" si="1"/>
        <v>1.0895262008021649</v>
      </c>
      <c r="J19" s="3">
        <f t="shared" si="2"/>
        <v>693.99999999999989</v>
      </c>
      <c r="K19">
        <f t="shared" si="3"/>
        <v>729</v>
      </c>
      <c r="M19" s="13">
        <f t="shared" si="4"/>
        <v>1.0893020184563209</v>
      </c>
      <c r="N19" s="3">
        <f t="shared" si="5"/>
        <v>694.14285714285711</v>
      </c>
      <c r="O19" s="3">
        <f t="shared" si="6"/>
        <v>728.85</v>
      </c>
    </row>
    <row r="20" spans="1:15" x14ac:dyDescent="0.25">
      <c r="A20" t="s">
        <v>35</v>
      </c>
      <c r="B20">
        <v>1025</v>
      </c>
      <c r="C20">
        <v>12000</v>
      </c>
      <c r="D20" s="2">
        <f t="shared" si="8"/>
        <v>3167.8571428571431</v>
      </c>
      <c r="E20" s="4">
        <f t="shared" si="9"/>
        <v>0.27575757575757576</v>
      </c>
      <c r="F20">
        <v>951</v>
      </c>
      <c r="G20">
        <v>999</v>
      </c>
      <c r="H20" s="9">
        <f t="shared" si="0"/>
        <v>1.0886479923683983</v>
      </c>
      <c r="I20" s="9">
        <f t="shared" si="1"/>
        <v>1.0891385953392716</v>
      </c>
      <c r="J20" s="3">
        <f t="shared" si="2"/>
        <v>951.00000000000011</v>
      </c>
      <c r="K20">
        <f t="shared" si="3"/>
        <v>999</v>
      </c>
      <c r="M20" s="13">
        <f t="shared" si="4"/>
        <v>1.0888932938538349</v>
      </c>
      <c r="N20" s="3">
        <f t="shared" si="5"/>
        <v>951.21428571428578</v>
      </c>
      <c r="O20" s="3">
        <f t="shared" si="6"/>
        <v>998.77500000000009</v>
      </c>
    </row>
    <row r="21" spans="1:15" hidden="1" x14ac:dyDescent="0.25">
      <c r="A21" t="s">
        <v>11</v>
      </c>
      <c r="B21">
        <v>168</v>
      </c>
      <c r="C21">
        <v>12000</v>
      </c>
      <c r="D21" s="2">
        <f t="shared" si="8"/>
        <v>2310.8571428571431</v>
      </c>
      <c r="E21" s="4">
        <f t="shared" si="9"/>
        <v>0.27575757575757576</v>
      </c>
      <c r="F21">
        <v>694</v>
      </c>
      <c r="G21">
        <v>729</v>
      </c>
      <c r="H21" s="9">
        <f t="shared" si="0"/>
        <v>1.0890778361104769</v>
      </c>
      <c r="I21" s="9">
        <f t="shared" si="1"/>
        <v>1.0895262008021649</v>
      </c>
      <c r="J21" s="3">
        <f t="shared" si="2"/>
        <v>693.99999999999989</v>
      </c>
      <c r="K21">
        <f t="shared" si="3"/>
        <v>729</v>
      </c>
      <c r="M21" s="13">
        <f t="shared" si="4"/>
        <v>1.0893020184563209</v>
      </c>
      <c r="N21" s="3">
        <f t="shared" si="5"/>
        <v>694.14285714285711</v>
      </c>
      <c r="O21" s="3">
        <f t="shared" si="6"/>
        <v>728.85</v>
      </c>
    </row>
    <row r="22" spans="1:15" x14ac:dyDescent="0.25">
      <c r="A22" t="s">
        <v>36</v>
      </c>
      <c r="B22">
        <v>1025</v>
      </c>
      <c r="C22">
        <v>12000</v>
      </c>
      <c r="D22" s="2">
        <f t="shared" ref="D22" si="14">(1000+B22)+(C22/10.5)</f>
        <v>3167.8571428571431</v>
      </c>
      <c r="E22" s="4">
        <f t="shared" si="9"/>
        <v>0.27575757575757576</v>
      </c>
      <c r="F22">
        <v>951</v>
      </c>
      <c r="G22">
        <v>999</v>
      </c>
      <c r="H22" s="9">
        <f t="shared" si="0"/>
        <v>1.0886479923683983</v>
      </c>
      <c r="I22" s="9">
        <f t="shared" si="1"/>
        <v>1.0891385953392716</v>
      </c>
      <c r="J22" s="3">
        <f t="shared" si="2"/>
        <v>951.00000000000011</v>
      </c>
      <c r="K22">
        <f t="shared" si="3"/>
        <v>999</v>
      </c>
      <c r="M22" s="13">
        <f t="shared" si="4"/>
        <v>1.0888932938538349</v>
      </c>
      <c r="N22" s="3">
        <f t="shared" si="5"/>
        <v>951.21428571428578</v>
      </c>
      <c r="O22" s="3">
        <f t="shared" si="6"/>
        <v>998.77500000000009</v>
      </c>
    </row>
    <row r="23" spans="1:15" hidden="1" x14ac:dyDescent="0.25">
      <c r="A23" t="s">
        <v>13</v>
      </c>
      <c r="B23">
        <v>168</v>
      </c>
      <c r="C23">
        <v>12000</v>
      </c>
      <c r="D23" s="2">
        <f t="shared" si="8"/>
        <v>2310.8571428571431</v>
      </c>
      <c r="E23" s="4">
        <f t="shared" si="9"/>
        <v>0.27575757575757576</v>
      </c>
      <c r="F23">
        <v>694</v>
      </c>
      <c r="G23">
        <v>729</v>
      </c>
      <c r="H23" s="9">
        <f t="shared" si="0"/>
        <v>1.0890778361104769</v>
      </c>
      <c r="I23" s="9">
        <f t="shared" si="1"/>
        <v>1.0895262008021649</v>
      </c>
      <c r="J23" s="3">
        <f t="shared" si="2"/>
        <v>693.99999999999989</v>
      </c>
      <c r="K23">
        <f t="shared" si="3"/>
        <v>729</v>
      </c>
      <c r="M23" s="13">
        <f t="shared" si="4"/>
        <v>1.0893020184563209</v>
      </c>
      <c r="N23" s="3">
        <f t="shared" si="5"/>
        <v>694.14285714285711</v>
      </c>
      <c r="O23" s="3">
        <f t="shared" si="6"/>
        <v>728.85</v>
      </c>
    </row>
    <row r="24" spans="1:15" x14ac:dyDescent="0.25">
      <c r="A24" t="s">
        <v>37</v>
      </c>
      <c r="B24">
        <v>1025</v>
      </c>
      <c r="C24">
        <v>12000</v>
      </c>
      <c r="D24" s="2">
        <f t="shared" ref="D24" si="15">(1000+B24)+(C24/10.5)</f>
        <v>3167.8571428571431</v>
      </c>
      <c r="E24" s="4">
        <f t="shared" si="9"/>
        <v>0.27575757575757576</v>
      </c>
      <c r="F24">
        <v>951</v>
      </c>
      <c r="G24">
        <v>999</v>
      </c>
      <c r="H24" s="9">
        <f t="shared" si="0"/>
        <v>1.0886479923683983</v>
      </c>
      <c r="I24" s="9">
        <f t="shared" si="1"/>
        <v>1.0891385953392716</v>
      </c>
      <c r="J24" s="3">
        <f t="shared" si="2"/>
        <v>951.00000000000011</v>
      </c>
      <c r="K24">
        <f t="shared" si="3"/>
        <v>999</v>
      </c>
      <c r="M24" s="13">
        <f t="shared" si="4"/>
        <v>1.0888932938538349</v>
      </c>
      <c r="N24" s="3">
        <f t="shared" si="5"/>
        <v>951.21428571428578</v>
      </c>
      <c r="O24" s="3">
        <f t="shared" si="6"/>
        <v>998.77500000000009</v>
      </c>
    </row>
    <row r="25" spans="1:15" hidden="1" x14ac:dyDescent="0.25">
      <c r="A25" t="s">
        <v>14</v>
      </c>
      <c r="B25">
        <v>168</v>
      </c>
      <c r="C25">
        <v>12000</v>
      </c>
      <c r="D25" s="2">
        <f t="shared" si="8"/>
        <v>2310.8571428571431</v>
      </c>
      <c r="E25" s="4">
        <f t="shared" si="9"/>
        <v>0.27575757575757576</v>
      </c>
      <c r="F25">
        <v>694</v>
      </c>
      <c r="G25">
        <v>729</v>
      </c>
      <c r="H25" s="9">
        <f t="shared" si="0"/>
        <v>1.0890778361104769</v>
      </c>
      <c r="I25" s="9">
        <f t="shared" si="1"/>
        <v>1.0895262008021649</v>
      </c>
      <c r="J25" s="3">
        <f t="shared" si="2"/>
        <v>693.99999999999989</v>
      </c>
      <c r="K25">
        <f t="shared" si="3"/>
        <v>729</v>
      </c>
      <c r="M25" s="13">
        <f t="shared" si="4"/>
        <v>1.0893020184563209</v>
      </c>
      <c r="N25" s="3">
        <f t="shared" si="5"/>
        <v>694.14285714285711</v>
      </c>
      <c r="O25" s="3">
        <f t="shared" si="6"/>
        <v>728.85</v>
      </c>
    </row>
    <row r="26" spans="1:15" x14ac:dyDescent="0.25">
      <c r="A26" t="s">
        <v>38</v>
      </c>
      <c r="B26">
        <v>1025</v>
      </c>
      <c r="C26">
        <v>12000</v>
      </c>
      <c r="D26" s="2">
        <f t="shared" ref="D26" si="16">(1000+B26)+(C26/10.5)</f>
        <v>3167.8571428571431</v>
      </c>
      <c r="E26" s="4">
        <f t="shared" si="9"/>
        <v>0.27575757575757576</v>
      </c>
      <c r="F26">
        <v>951</v>
      </c>
      <c r="G26">
        <v>999</v>
      </c>
      <c r="H26" s="9">
        <f t="shared" si="0"/>
        <v>1.0886479923683983</v>
      </c>
      <c r="I26" s="9">
        <f t="shared" si="1"/>
        <v>1.0891385953392716</v>
      </c>
      <c r="J26" s="3">
        <f t="shared" si="2"/>
        <v>951.00000000000011</v>
      </c>
      <c r="K26">
        <f t="shared" si="3"/>
        <v>999</v>
      </c>
      <c r="M26" s="13">
        <f t="shared" si="4"/>
        <v>1.0888932938538349</v>
      </c>
      <c r="N26" s="3">
        <f t="shared" si="5"/>
        <v>951.21428571428578</v>
      </c>
      <c r="O26" s="3">
        <f t="shared" si="6"/>
        <v>998.77500000000009</v>
      </c>
    </row>
    <row r="27" spans="1:15" hidden="1" x14ac:dyDescent="0.25">
      <c r="A27" t="s">
        <v>26</v>
      </c>
      <c r="B27">
        <v>198</v>
      </c>
      <c r="C27">
        <v>12000</v>
      </c>
      <c r="D27" s="2">
        <f t="shared" ref="D27:D28" si="17">(1000+B27)+(C27/10.5)</f>
        <v>2340.8571428571431</v>
      </c>
      <c r="E27" s="4">
        <f t="shared" si="9"/>
        <v>0.27575757575757576</v>
      </c>
      <c r="F27">
        <v>781</v>
      </c>
      <c r="G27">
        <v>820</v>
      </c>
      <c r="H27" s="9">
        <f t="shared" si="0"/>
        <v>1.2098977551192855</v>
      </c>
      <c r="I27" s="9">
        <f t="shared" si="1"/>
        <v>1.2098239853640802</v>
      </c>
      <c r="J27" s="3">
        <f t="shared" si="2"/>
        <v>781</v>
      </c>
      <c r="K27">
        <f t="shared" si="3"/>
        <v>820</v>
      </c>
      <c r="M27" s="13">
        <f t="shared" si="4"/>
        <v>1.2098608702416829</v>
      </c>
      <c r="N27" s="3">
        <f t="shared" si="5"/>
        <v>780.97619047619037</v>
      </c>
      <c r="O27" s="3">
        <f t="shared" si="6"/>
        <v>820.02499999999998</v>
      </c>
    </row>
    <row r="28" spans="1:15" x14ac:dyDescent="0.25">
      <c r="A28" t="s">
        <v>39</v>
      </c>
      <c r="B28">
        <v>1207</v>
      </c>
      <c r="C28">
        <v>12000</v>
      </c>
      <c r="D28" s="2">
        <f t="shared" si="17"/>
        <v>3349.8571428571431</v>
      </c>
      <c r="E28" s="4">
        <f t="shared" si="9"/>
        <v>0.27575757575757576</v>
      </c>
      <c r="F28">
        <v>1118</v>
      </c>
      <c r="G28">
        <v>1174</v>
      </c>
      <c r="H28" s="9">
        <f t="shared" si="0"/>
        <v>1.2102861529276301</v>
      </c>
      <c r="I28" s="9">
        <f t="shared" si="1"/>
        <v>1.2103892525232451</v>
      </c>
      <c r="J28" s="3">
        <f t="shared" si="2"/>
        <v>1118</v>
      </c>
      <c r="K28">
        <f t="shared" si="3"/>
        <v>1173.9999999999998</v>
      </c>
      <c r="M28" s="13">
        <f t="shared" si="4"/>
        <v>1.2103377027254376</v>
      </c>
      <c r="N28" s="3">
        <f t="shared" si="5"/>
        <v>1118.047619047619</v>
      </c>
      <c r="O28" s="3">
        <f t="shared" si="6"/>
        <v>1173.95</v>
      </c>
    </row>
    <row r="29" spans="1:15" x14ac:dyDescent="0.25">
      <c r="A29" s="5" t="s">
        <v>23</v>
      </c>
      <c r="B29" s="6"/>
      <c r="C29" s="6"/>
      <c r="D29" s="6"/>
      <c r="E29" s="6"/>
      <c r="F29" s="6"/>
      <c r="G29" s="6"/>
      <c r="H29" s="7"/>
      <c r="I29" s="8"/>
      <c r="J29" s="6"/>
      <c r="K29" s="6"/>
      <c r="L29" s="5"/>
      <c r="M29" s="10"/>
      <c r="N29" s="11"/>
      <c r="O29" s="11"/>
    </row>
    <row r="30" spans="1:15" hidden="1" x14ac:dyDescent="0.25">
      <c r="A30" t="s">
        <v>20</v>
      </c>
      <c r="B30" s="1">
        <v>0</v>
      </c>
      <c r="C30">
        <v>12000</v>
      </c>
      <c r="D30" s="2">
        <f>ROUND((1000+B30)+(C30/10.5), 0)</f>
        <v>2143</v>
      </c>
      <c r="E30" s="4">
        <f>(18200/33000) * 0.5</f>
        <v>0.27575757575757576</v>
      </c>
      <c r="F30">
        <v>1002</v>
      </c>
      <c r="G30">
        <v>1052</v>
      </c>
      <c r="H30" s="9">
        <f t="shared" ref="H30:H60" si="18">F30/(D30*E30)</f>
        <v>1.6955792690743692</v>
      </c>
      <c r="I30" s="9">
        <f t="shared" si="1"/>
        <v>1.6954181076572914</v>
      </c>
      <c r="J30" s="3">
        <f t="shared" ref="J30" si="19">D30*H30*E30</f>
        <v>1001.9999999999999</v>
      </c>
      <c r="K30">
        <f t="shared" ref="K30:K60" si="20">D30*1.05*I30*E30</f>
        <v>1051.9999999999998</v>
      </c>
      <c r="L30">
        <v>1.8</v>
      </c>
      <c r="M30" s="13">
        <f t="shared" si="4"/>
        <v>1.6954986883658303</v>
      </c>
      <c r="N30" s="3">
        <f t="shared" ref="N30:N60" si="21">D30*M30*E30</f>
        <v>1001.9523809523808</v>
      </c>
      <c r="O30" s="3">
        <f t="shared" si="6"/>
        <v>1052.05</v>
      </c>
    </row>
    <row r="31" spans="1:15" hidden="1" x14ac:dyDescent="0.25">
      <c r="A31" t="s">
        <v>3</v>
      </c>
      <c r="B31">
        <v>168</v>
      </c>
      <c r="C31">
        <v>12000</v>
      </c>
      <c r="D31" s="2">
        <f t="shared" ref="D31:D60" si="22">ROUND((1000+B31)+(C31/10.5), 0)</f>
        <v>2311</v>
      </c>
      <c r="E31" s="4">
        <f>(18200/33000) * 0.5</f>
        <v>0.27575757575757576</v>
      </c>
      <c r="F31">
        <v>1028</v>
      </c>
      <c r="G31">
        <v>1080</v>
      </c>
      <c r="H31" s="9">
        <f t="shared" si="18"/>
        <v>1.6131164378676279</v>
      </c>
      <c r="I31" s="9">
        <f t="shared" si="1"/>
        <v>1.6140131118186383</v>
      </c>
      <c r="J31" s="3">
        <f t="shared" ref="J31:J60" si="23">D31*H31*E31</f>
        <v>1028</v>
      </c>
      <c r="K31">
        <f t="shared" si="20"/>
        <v>1080.0000000000002</v>
      </c>
      <c r="L31">
        <v>2</v>
      </c>
      <c r="M31" s="13">
        <f t="shared" si="4"/>
        <v>1.613564774843133</v>
      </c>
      <c r="N31" s="3">
        <f t="shared" si="21"/>
        <v>1028.2857142857142</v>
      </c>
      <c r="O31" s="3">
        <f t="shared" si="6"/>
        <v>1079.7</v>
      </c>
    </row>
    <row r="32" spans="1:15" x14ac:dyDescent="0.25">
      <c r="A32" t="s">
        <v>28</v>
      </c>
      <c r="B32">
        <v>1025</v>
      </c>
      <c r="C32">
        <v>12000</v>
      </c>
      <c r="D32" s="2">
        <f t="shared" si="22"/>
        <v>3168</v>
      </c>
      <c r="E32" s="4">
        <f t="shared" ref="E32:E60" si="24">(18200/33000) * 0.5</f>
        <v>0.27575757575757576</v>
      </c>
      <c r="F32">
        <v>1410</v>
      </c>
      <c r="G32">
        <v>1481</v>
      </c>
      <c r="H32" s="9">
        <f t="shared" si="18"/>
        <v>1.6140109890109891</v>
      </c>
      <c r="I32" s="9">
        <f t="shared" si="1"/>
        <v>1.614556078841793</v>
      </c>
      <c r="J32" s="3">
        <f t="shared" si="23"/>
        <v>1410</v>
      </c>
      <c r="K32">
        <f>D32*1.05*I32*E32</f>
        <v>1480.9999999999998</v>
      </c>
      <c r="M32" s="13">
        <f t="shared" si="4"/>
        <v>1.614283533926391</v>
      </c>
      <c r="N32" s="3">
        <f t="shared" si="21"/>
        <v>1410.2380952380952</v>
      </c>
      <c r="O32" s="3">
        <f t="shared" si="6"/>
        <v>1480.75</v>
      </c>
    </row>
    <row r="33" spans="1:15" hidden="1" x14ac:dyDescent="0.25">
      <c r="A33" t="s">
        <v>4</v>
      </c>
      <c r="B33">
        <v>198</v>
      </c>
      <c r="C33">
        <v>12000</v>
      </c>
      <c r="D33" s="2">
        <f t="shared" si="22"/>
        <v>2341</v>
      </c>
      <c r="E33" s="4">
        <f t="shared" si="24"/>
        <v>0.27575757575757576</v>
      </c>
      <c r="F33">
        <v>1116</v>
      </c>
      <c r="G33">
        <v>1172</v>
      </c>
      <c r="H33" s="9">
        <f t="shared" si="18"/>
        <v>1.7287624805779442</v>
      </c>
      <c r="I33" s="9">
        <f t="shared" si="1"/>
        <v>1.7290575415918679</v>
      </c>
      <c r="J33" s="3">
        <f t="shared" si="23"/>
        <v>1116.0000000000002</v>
      </c>
      <c r="K33">
        <f t="shared" si="20"/>
        <v>1172.0000000000002</v>
      </c>
      <c r="L33">
        <v>2.0499999999999998</v>
      </c>
      <c r="M33" s="13">
        <f t="shared" si="4"/>
        <v>1.7289100110849061</v>
      </c>
      <c r="N33" s="3">
        <f t="shared" si="21"/>
        <v>1116.0952380952383</v>
      </c>
      <c r="O33" s="3">
        <f t="shared" si="6"/>
        <v>1171.9000000000003</v>
      </c>
    </row>
    <row r="34" spans="1:15" x14ac:dyDescent="0.25">
      <c r="A34" t="s">
        <v>29</v>
      </c>
      <c r="B34">
        <v>1206</v>
      </c>
      <c r="C34">
        <v>12000</v>
      </c>
      <c r="D34" s="2">
        <f t="shared" si="22"/>
        <v>3349</v>
      </c>
      <c r="E34" s="4">
        <f t="shared" si="24"/>
        <v>0.27575757575757576</v>
      </c>
      <c r="F34">
        <v>1597</v>
      </c>
      <c r="G34">
        <v>1677</v>
      </c>
      <c r="H34" s="9">
        <f t="shared" si="18"/>
        <v>1.72926804458605</v>
      </c>
      <c r="I34" s="9">
        <f t="shared" si="1"/>
        <v>1.7294227335604291</v>
      </c>
      <c r="J34" s="3">
        <f t="shared" si="23"/>
        <v>1597</v>
      </c>
      <c r="K34">
        <f t="shared" si="20"/>
        <v>1677</v>
      </c>
      <c r="M34" s="13">
        <f t="shared" si="4"/>
        <v>1.7293453890732395</v>
      </c>
      <c r="N34" s="3">
        <f t="shared" si="21"/>
        <v>1597.0714285714284</v>
      </c>
      <c r="O34" s="3">
        <f t="shared" si="6"/>
        <v>1676.925</v>
      </c>
    </row>
    <row r="35" spans="1:15" hidden="1" x14ac:dyDescent="0.25">
      <c r="A35" t="s">
        <v>5</v>
      </c>
      <c r="B35">
        <v>168</v>
      </c>
      <c r="C35">
        <v>12000</v>
      </c>
      <c r="D35" s="2">
        <f t="shared" si="22"/>
        <v>2311</v>
      </c>
      <c r="E35" s="4">
        <f t="shared" si="24"/>
        <v>0.27575757575757576</v>
      </c>
      <c r="F35">
        <v>1028</v>
      </c>
      <c r="G35">
        <v>1080</v>
      </c>
      <c r="H35" s="9">
        <f t="shared" si="18"/>
        <v>1.6131164378676279</v>
      </c>
      <c r="I35" s="9">
        <f t="shared" si="1"/>
        <v>1.6140131118186383</v>
      </c>
      <c r="J35" s="3">
        <f t="shared" si="23"/>
        <v>1028</v>
      </c>
      <c r="K35">
        <f t="shared" si="20"/>
        <v>1080.0000000000002</v>
      </c>
      <c r="L35">
        <v>2</v>
      </c>
      <c r="M35" s="13">
        <f t="shared" si="4"/>
        <v>1.613564774843133</v>
      </c>
      <c r="N35" s="3">
        <f t="shared" si="21"/>
        <v>1028.2857142857142</v>
      </c>
      <c r="O35" s="3">
        <f t="shared" si="6"/>
        <v>1079.7</v>
      </c>
    </row>
    <row r="36" spans="1:15" x14ac:dyDescent="0.25">
      <c r="A36" t="s">
        <v>30</v>
      </c>
      <c r="B36">
        <v>1025</v>
      </c>
      <c r="C36">
        <v>12000</v>
      </c>
      <c r="D36" s="2">
        <f t="shared" si="22"/>
        <v>3168</v>
      </c>
      <c r="E36" s="4">
        <f t="shared" si="24"/>
        <v>0.27575757575757576</v>
      </c>
      <c r="F36">
        <v>1410</v>
      </c>
      <c r="G36">
        <v>1481</v>
      </c>
      <c r="H36" s="9">
        <f t="shared" si="18"/>
        <v>1.6140109890109891</v>
      </c>
      <c r="I36" s="9">
        <f t="shared" si="1"/>
        <v>1.614556078841793</v>
      </c>
      <c r="J36" s="3">
        <f t="shared" si="23"/>
        <v>1410</v>
      </c>
      <c r="K36">
        <f t="shared" si="20"/>
        <v>1480.9999999999998</v>
      </c>
      <c r="M36" s="13">
        <f t="shared" si="4"/>
        <v>1.614283533926391</v>
      </c>
      <c r="N36" s="3">
        <f t="shared" si="21"/>
        <v>1410.2380952380952</v>
      </c>
      <c r="O36" s="3">
        <f t="shared" si="6"/>
        <v>1480.75</v>
      </c>
    </row>
    <row r="37" spans="1:15" hidden="1" x14ac:dyDescent="0.25">
      <c r="A37" t="s">
        <v>6</v>
      </c>
      <c r="B37">
        <v>198</v>
      </c>
      <c r="C37">
        <v>12000</v>
      </c>
      <c r="D37" s="2">
        <f t="shared" si="22"/>
        <v>2341</v>
      </c>
      <c r="E37" s="4">
        <f t="shared" si="24"/>
        <v>0.27575757575757576</v>
      </c>
      <c r="F37">
        <v>1116</v>
      </c>
      <c r="G37">
        <v>1172</v>
      </c>
      <c r="H37" s="9">
        <f t="shared" si="18"/>
        <v>1.7287624805779442</v>
      </c>
      <c r="I37" s="9">
        <f t="shared" si="1"/>
        <v>1.7290575415918679</v>
      </c>
      <c r="J37" s="3">
        <f t="shared" si="23"/>
        <v>1116.0000000000002</v>
      </c>
      <c r="K37">
        <f t="shared" si="20"/>
        <v>1172.0000000000002</v>
      </c>
      <c r="L37">
        <v>2.0499999999999998</v>
      </c>
      <c r="M37" s="13">
        <f t="shared" si="4"/>
        <v>1.7289100110849061</v>
      </c>
      <c r="N37" s="3">
        <f t="shared" si="21"/>
        <v>1116.0952380952383</v>
      </c>
      <c r="O37" s="3">
        <f t="shared" si="6"/>
        <v>1171.9000000000003</v>
      </c>
    </row>
    <row r="38" spans="1:15" x14ac:dyDescent="0.25">
      <c r="A38" t="s">
        <v>31</v>
      </c>
      <c r="B38">
        <v>1206</v>
      </c>
      <c r="C38">
        <v>12000</v>
      </c>
      <c r="D38" s="2">
        <f t="shared" si="22"/>
        <v>3349</v>
      </c>
      <c r="E38" s="4">
        <f t="shared" si="24"/>
        <v>0.27575757575757576</v>
      </c>
      <c r="F38">
        <v>1597</v>
      </c>
      <c r="G38">
        <v>1677</v>
      </c>
      <c r="H38" s="9">
        <f t="shared" si="18"/>
        <v>1.72926804458605</v>
      </c>
      <c r="I38" s="9">
        <f t="shared" si="1"/>
        <v>1.7294227335604291</v>
      </c>
      <c r="J38" s="3">
        <f t="shared" si="23"/>
        <v>1597</v>
      </c>
      <c r="K38">
        <f t="shared" si="20"/>
        <v>1677</v>
      </c>
      <c r="M38" s="13">
        <f t="shared" si="4"/>
        <v>1.7293453890732395</v>
      </c>
      <c r="N38" s="3">
        <f t="shared" si="21"/>
        <v>1597.0714285714284</v>
      </c>
      <c r="O38" s="3">
        <f t="shared" si="6"/>
        <v>1676.925</v>
      </c>
    </row>
    <row r="39" spans="1:15" hidden="1" x14ac:dyDescent="0.25">
      <c r="A39" t="s">
        <v>7</v>
      </c>
      <c r="B39">
        <v>168</v>
      </c>
      <c r="C39">
        <v>12000</v>
      </c>
      <c r="D39" s="2">
        <f t="shared" si="22"/>
        <v>2311</v>
      </c>
      <c r="E39" s="4">
        <f t="shared" si="24"/>
        <v>0.27575757575757576</v>
      </c>
      <c r="F39">
        <v>1028</v>
      </c>
      <c r="G39">
        <v>1080</v>
      </c>
      <c r="H39" s="9">
        <f t="shared" si="18"/>
        <v>1.6131164378676279</v>
      </c>
      <c r="I39" s="9">
        <f t="shared" si="1"/>
        <v>1.6140131118186383</v>
      </c>
      <c r="J39" s="3">
        <f t="shared" si="23"/>
        <v>1028</v>
      </c>
      <c r="K39">
        <f t="shared" si="20"/>
        <v>1080.0000000000002</v>
      </c>
      <c r="L39">
        <v>2</v>
      </c>
      <c r="M39" s="13">
        <f t="shared" si="4"/>
        <v>1.613564774843133</v>
      </c>
      <c r="N39" s="3">
        <f t="shared" si="21"/>
        <v>1028.2857142857142</v>
      </c>
      <c r="O39" s="3">
        <f t="shared" si="6"/>
        <v>1079.7</v>
      </c>
    </row>
    <row r="40" spans="1:15" x14ac:dyDescent="0.25">
      <c r="A40" t="s">
        <v>32</v>
      </c>
      <c r="B40">
        <v>1025</v>
      </c>
      <c r="C40">
        <v>12000</v>
      </c>
      <c r="D40" s="2">
        <f t="shared" si="22"/>
        <v>3168</v>
      </c>
      <c r="E40" s="4">
        <f t="shared" si="24"/>
        <v>0.27575757575757576</v>
      </c>
      <c r="F40">
        <v>1410</v>
      </c>
      <c r="G40">
        <v>1481</v>
      </c>
      <c r="H40" s="9">
        <f t="shared" si="18"/>
        <v>1.6140109890109891</v>
      </c>
      <c r="I40" s="9">
        <f t="shared" si="1"/>
        <v>1.614556078841793</v>
      </c>
      <c r="J40" s="3">
        <f t="shared" si="23"/>
        <v>1410</v>
      </c>
      <c r="K40">
        <f t="shared" si="20"/>
        <v>1480.9999999999998</v>
      </c>
      <c r="M40" s="13">
        <f t="shared" si="4"/>
        <v>1.614283533926391</v>
      </c>
      <c r="N40" s="3">
        <f t="shared" si="21"/>
        <v>1410.2380952380952</v>
      </c>
      <c r="O40" s="3">
        <f t="shared" si="6"/>
        <v>1480.75</v>
      </c>
    </row>
    <row r="41" spans="1:15" hidden="1" x14ac:dyDescent="0.25">
      <c r="A41" t="s">
        <v>8</v>
      </c>
      <c r="B41">
        <v>198</v>
      </c>
      <c r="C41">
        <v>12000</v>
      </c>
      <c r="D41" s="2">
        <f t="shared" si="22"/>
        <v>2341</v>
      </c>
      <c r="E41" s="4">
        <f t="shared" si="24"/>
        <v>0.27575757575757576</v>
      </c>
      <c r="F41">
        <v>1116</v>
      </c>
      <c r="G41">
        <v>1172</v>
      </c>
      <c r="H41" s="9">
        <f t="shared" si="18"/>
        <v>1.7287624805779442</v>
      </c>
      <c r="I41" s="9">
        <f t="shared" si="1"/>
        <v>1.7290575415918679</v>
      </c>
      <c r="J41" s="3">
        <f t="shared" si="23"/>
        <v>1116.0000000000002</v>
      </c>
      <c r="K41">
        <f t="shared" si="20"/>
        <v>1172.0000000000002</v>
      </c>
      <c r="L41">
        <v>2.0499999999999998</v>
      </c>
      <c r="M41" s="13">
        <f t="shared" si="4"/>
        <v>1.7289100110849061</v>
      </c>
      <c r="N41" s="3">
        <f t="shared" si="21"/>
        <v>1116.0952380952383</v>
      </c>
      <c r="O41" s="3">
        <f t="shared" si="6"/>
        <v>1171.9000000000003</v>
      </c>
    </row>
    <row r="42" spans="1:15" x14ac:dyDescent="0.25">
      <c r="A42" t="s">
        <v>33</v>
      </c>
      <c r="B42">
        <v>1206</v>
      </c>
      <c r="C42">
        <v>12000</v>
      </c>
      <c r="D42" s="2">
        <f t="shared" si="22"/>
        <v>3349</v>
      </c>
      <c r="E42" s="4">
        <f t="shared" si="24"/>
        <v>0.27575757575757576</v>
      </c>
      <c r="F42">
        <v>1597</v>
      </c>
      <c r="G42">
        <v>1677</v>
      </c>
      <c r="H42" s="9">
        <f t="shared" si="18"/>
        <v>1.72926804458605</v>
      </c>
      <c r="I42" s="9">
        <f t="shared" si="1"/>
        <v>1.7294227335604291</v>
      </c>
      <c r="J42" s="3">
        <f t="shared" si="23"/>
        <v>1597</v>
      </c>
      <c r="K42">
        <f t="shared" si="20"/>
        <v>1677</v>
      </c>
      <c r="M42" s="13">
        <f t="shared" si="4"/>
        <v>1.7293453890732395</v>
      </c>
      <c r="N42" s="3">
        <f t="shared" si="21"/>
        <v>1597.0714285714284</v>
      </c>
      <c r="O42" s="3">
        <f t="shared" si="6"/>
        <v>1676.925</v>
      </c>
    </row>
    <row r="43" spans="1:15" hidden="1" x14ac:dyDescent="0.25">
      <c r="A43" t="s">
        <v>9</v>
      </c>
      <c r="B43">
        <v>168</v>
      </c>
      <c r="C43">
        <v>12000</v>
      </c>
      <c r="D43" s="2">
        <f t="shared" si="22"/>
        <v>2311</v>
      </c>
      <c r="E43" s="4">
        <f t="shared" si="24"/>
        <v>0.27575757575757576</v>
      </c>
      <c r="F43">
        <v>1028</v>
      </c>
      <c r="G43">
        <v>1080</v>
      </c>
      <c r="H43" s="9">
        <f t="shared" si="18"/>
        <v>1.6131164378676279</v>
      </c>
      <c r="I43" s="9">
        <f t="shared" si="1"/>
        <v>1.6140131118186383</v>
      </c>
      <c r="J43" s="3">
        <f t="shared" si="23"/>
        <v>1028</v>
      </c>
      <c r="K43">
        <f t="shared" si="20"/>
        <v>1080.0000000000002</v>
      </c>
      <c r="L43">
        <v>2</v>
      </c>
      <c r="M43" s="13">
        <f t="shared" si="4"/>
        <v>1.613564774843133</v>
      </c>
      <c r="N43" s="3">
        <f t="shared" si="21"/>
        <v>1028.2857142857142</v>
      </c>
      <c r="O43" s="3">
        <f t="shared" si="6"/>
        <v>1079.7</v>
      </c>
    </row>
    <row r="44" spans="1:15" x14ac:dyDescent="0.25">
      <c r="A44" t="s">
        <v>34</v>
      </c>
      <c r="B44">
        <v>1025</v>
      </c>
      <c r="C44">
        <v>12000</v>
      </c>
      <c r="D44" s="2">
        <f t="shared" si="22"/>
        <v>3168</v>
      </c>
      <c r="E44" s="4">
        <f t="shared" si="24"/>
        <v>0.27575757575757576</v>
      </c>
      <c r="F44">
        <v>1410</v>
      </c>
      <c r="G44">
        <v>1481</v>
      </c>
      <c r="H44" s="9">
        <f t="shared" si="18"/>
        <v>1.6140109890109891</v>
      </c>
      <c r="I44" s="9">
        <f t="shared" si="1"/>
        <v>1.614556078841793</v>
      </c>
      <c r="J44" s="3">
        <f t="shared" si="23"/>
        <v>1410</v>
      </c>
      <c r="K44">
        <f t="shared" si="20"/>
        <v>1480.9999999999998</v>
      </c>
      <c r="M44" s="13">
        <f t="shared" si="4"/>
        <v>1.614283533926391</v>
      </c>
      <c r="N44" s="3">
        <f t="shared" si="21"/>
        <v>1410.2380952380952</v>
      </c>
      <c r="O44" s="3">
        <f t="shared" si="6"/>
        <v>1480.75</v>
      </c>
    </row>
    <row r="45" spans="1:15" hidden="1" x14ac:dyDescent="0.25">
      <c r="A45" t="s">
        <v>10</v>
      </c>
      <c r="B45">
        <v>168</v>
      </c>
      <c r="C45">
        <v>12000</v>
      </c>
      <c r="D45" s="2">
        <f t="shared" si="22"/>
        <v>2311</v>
      </c>
      <c r="E45" s="4">
        <f t="shared" si="24"/>
        <v>0.27575757575757576</v>
      </c>
      <c r="F45">
        <v>1469</v>
      </c>
      <c r="G45">
        <v>1543</v>
      </c>
      <c r="H45" s="9">
        <f t="shared" si="18"/>
        <v>2.3051245595598688</v>
      </c>
      <c r="I45" s="9">
        <f t="shared" si="1"/>
        <v>2.3059465106816286</v>
      </c>
      <c r="J45" s="3">
        <f t="shared" si="23"/>
        <v>1469</v>
      </c>
      <c r="K45">
        <f t="shared" si="20"/>
        <v>1543.0000000000002</v>
      </c>
      <c r="L45">
        <v>2.3250000000000002</v>
      </c>
      <c r="M45" s="9">
        <f t="shared" si="4"/>
        <v>2.3055355351207485</v>
      </c>
      <c r="N45" s="3">
        <f t="shared" si="21"/>
        <v>1469.2619047619048</v>
      </c>
      <c r="O45" s="3">
        <f t="shared" si="6"/>
        <v>1542.7250000000001</v>
      </c>
    </row>
    <row r="46" spans="1:15" x14ac:dyDescent="0.25">
      <c r="A46" t="s">
        <v>27</v>
      </c>
      <c r="B46">
        <v>1025</v>
      </c>
      <c r="C46">
        <v>12000</v>
      </c>
      <c r="D46" s="2">
        <f t="shared" si="22"/>
        <v>3168</v>
      </c>
      <c r="E46" s="4">
        <f t="shared" si="24"/>
        <v>0.27575757575757576</v>
      </c>
      <c r="F46">
        <v>2014</v>
      </c>
      <c r="G46">
        <v>2115</v>
      </c>
      <c r="H46" s="9">
        <f t="shared" si="18"/>
        <v>2.3054029304029302</v>
      </c>
      <c r="I46" s="9">
        <f t="shared" si="1"/>
        <v>2.3057299843014127</v>
      </c>
      <c r="J46" s="3">
        <f t="shared" si="23"/>
        <v>2014</v>
      </c>
      <c r="K46">
        <f t="shared" si="20"/>
        <v>2115</v>
      </c>
      <c r="M46" s="13">
        <f t="shared" si="4"/>
        <v>2.3055664573521715</v>
      </c>
      <c r="N46" s="3">
        <f t="shared" si="21"/>
        <v>2014.1428571428571</v>
      </c>
      <c r="O46" s="3">
        <f t="shared" si="6"/>
        <v>2114.85</v>
      </c>
    </row>
    <row r="47" spans="1:15" hidden="1" x14ac:dyDescent="0.25">
      <c r="A47" t="s">
        <v>12</v>
      </c>
      <c r="B47">
        <v>168</v>
      </c>
      <c r="C47">
        <v>12000</v>
      </c>
      <c r="D47" s="2">
        <f t="shared" si="22"/>
        <v>2311</v>
      </c>
      <c r="E47" s="4">
        <f t="shared" si="24"/>
        <v>0.27575757575757576</v>
      </c>
      <c r="F47">
        <v>1102</v>
      </c>
      <c r="G47">
        <v>1158</v>
      </c>
      <c r="H47" s="9">
        <f t="shared" si="18"/>
        <v>1.7292357145234689</v>
      </c>
      <c r="I47" s="9">
        <f t="shared" si="1"/>
        <v>1.7305807254499843</v>
      </c>
      <c r="J47" s="3">
        <f t="shared" si="23"/>
        <v>1102</v>
      </c>
      <c r="K47">
        <f t="shared" si="20"/>
        <v>1158.0000000000002</v>
      </c>
      <c r="L47">
        <v>2.0499999999999998</v>
      </c>
      <c r="M47" s="9">
        <f t="shared" si="4"/>
        <v>1.7299082199867266</v>
      </c>
      <c r="N47" s="3">
        <f t="shared" si="21"/>
        <v>1102.4285714285716</v>
      </c>
      <c r="O47" s="3">
        <f t="shared" si="6"/>
        <v>1157.5500000000002</v>
      </c>
    </row>
    <row r="48" spans="1:15" x14ac:dyDescent="0.25">
      <c r="A48" t="s">
        <v>35</v>
      </c>
      <c r="B48">
        <v>1025</v>
      </c>
      <c r="C48">
        <v>12000</v>
      </c>
      <c r="D48" s="2">
        <f t="shared" si="22"/>
        <v>3168</v>
      </c>
      <c r="E48" s="4">
        <f t="shared" si="24"/>
        <v>0.27575757575757576</v>
      </c>
      <c r="F48">
        <v>1511</v>
      </c>
      <c r="G48">
        <v>1586</v>
      </c>
      <c r="H48" s="9">
        <f t="shared" si="18"/>
        <v>1.729624542124542</v>
      </c>
      <c r="I48" s="9">
        <f t="shared" si="1"/>
        <v>1.7290249433106575</v>
      </c>
      <c r="J48" s="3">
        <f t="shared" si="23"/>
        <v>1511</v>
      </c>
      <c r="K48">
        <f t="shared" si="20"/>
        <v>1586</v>
      </c>
      <c r="M48" s="13">
        <f t="shared" si="4"/>
        <v>1.7293247427175997</v>
      </c>
      <c r="N48" s="3">
        <f t="shared" si="21"/>
        <v>1510.7380952380952</v>
      </c>
      <c r="O48" s="3">
        <f t="shared" si="6"/>
        <v>1586.2750000000001</v>
      </c>
    </row>
    <row r="49" spans="1:15" hidden="1" x14ac:dyDescent="0.25">
      <c r="A49" t="s">
        <v>11</v>
      </c>
      <c r="B49">
        <v>168</v>
      </c>
      <c r="C49">
        <v>12000</v>
      </c>
      <c r="D49" s="2">
        <f t="shared" si="22"/>
        <v>2311</v>
      </c>
      <c r="E49" s="4">
        <f t="shared" si="24"/>
        <v>0.27575757575757576</v>
      </c>
      <c r="F49">
        <v>1102</v>
      </c>
      <c r="G49">
        <v>1158</v>
      </c>
      <c r="H49" s="9">
        <f t="shared" si="18"/>
        <v>1.7292357145234689</v>
      </c>
      <c r="I49" s="9">
        <f t="shared" si="1"/>
        <v>1.7305807254499843</v>
      </c>
      <c r="J49" s="3">
        <f t="shared" si="23"/>
        <v>1102</v>
      </c>
      <c r="K49">
        <f t="shared" si="20"/>
        <v>1158.0000000000002</v>
      </c>
      <c r="L49">
        <v>2.0499999999999998</v>
      </c>
      <c r="M49" s="9">
        <f t="shared" si="4"/>
        <v>1.7299082199867266</v>
      </c>
      <c r="N49" s="3">
        <f t="shared" si="21"/>
        <v>1102.4285714285716</v>
      </c>
      <c r="O49" s="3">
        <f t="shared" si="6"/>
        <v>1157.5500000000002</v>
      </c>
    </row>
    <row r="50" spans="1:15" x14ac:dyDescent="0.25">
      <c r="A50" t="s">
        <v>36</v>
      </c>
      <c r="B50">
        <v>1025</v>
      </c>
      <c r="C50">
        <v>12000</v>
      </c>
      <c r="D50" s="2">
        <f t="shared" si="22"/>
        <v>3168</v>
      </c>
      <c r="E50" s="4">
        <f t="shared" si="24"/>
        <v>0.27575757575757576</v>
      </c>
      <c r="F50">
        <v>1511</v>
      </c>
      <c r="G50">
        <v>1586</v>
      </c>
      <c r="H50" s="9">
        <f t="shared" si="18"/>
        <v>1.729624542124542</v>
      </c>
      <c r="I50" s="9">
        <f t="shared" si="1"/>
        <v>1.7290249433106575</v>
      </c>
      <c r="J50" s="3">
        <f t="shared" si="23"/>
        <v>1511</v>
      </c>
      <c r="K50">
        <f t="shared" si="20"/>
        <v>1586</v>
      </c>
      <c r="M50" s="13">
        <f t="shared" si="4"/>
        <v>1.7293247427175997</v>
      </c>
      <c r="N50" s="3">
        <f t="shared" si="21"/>
        <v>1510.7380952380952</v>
      </c>
      <c r="O50" s="3">
        <f t="shared" si="6"/>
        <v>1586.2750000000001</v>
      </c>
    </row>
    <row r="51" spans="1:15" hidden="1" x14ac:dyDescent="0.25">
      <c r="A51" t="s">
        <v>13</v>
      </c>
      <c r="B51">
        <v>168</v>
      </c>
      <c r="C51">
        <v>12000</v>
      </c>
      <c r="D51" s="2">
        <f t="shared" si="22"/>
        <v>2311</v>
      </c>
      <c r="E51" s="4">
        <f t="shared" si="24"/>
        <v>0.27575757575757576</v>
      </c>
      <c r="F51">
        <v>1013</v>
      </c>
      <c r="G51">
        <v>1064</v>
      </c>
      <c r="H51" s="9">
        <f t="shared" si="18"/>
        <v>1.589578746653606</v>
      </c>
      <c r="I51" s="9">
        <f t="shared" si="1"/>
        <v>1.5901018064583621</v>
      </c>
      <c r="J51" s="3">
        <f t="shared" si="23"/>
        <v>1012.9999999999999</v>
      </c>
      <c r="K51">
        <f t="shared" si="20"/>
        <v>1064</v>
      </c>
      <c r="L51">
        <v>2.5</v>
      </c>
      <c r="M51" s="9">
        <f t="shared" si="4"/>
        <v>1.589840276555984</v>
      </c>
      <c r="N51" s="3">
        <f t="shared" si="21"/>
        <v>1013.1666666666666</v>
      </c>
      <c r="O51" s="3">
        <f t="shared" si="6"/>
        <v>1063.825</v>
      </c>
    </row>
    <row r="52" spans="1:15" hidden="1" x14ac:dyDescent="0.25">
      <c r="A52" t="s">
        <v>24</v>
      </c>
      <c r="B52">
        <v>168</v>
      </c>
      <c r="C52">
        <v>12000</v>
      </c>
      <c r="D52" s="2">
        <f t="shared" si="22"/>
        <v>2311</v>
      </c>
      <c r="E52" s="4">
        <f t="shared" si="24"/>
        <v>0.27575757575757576</v>
      </c>
      <c r="F52">
        <v>337</v>
      </c>
      <c r="G52">
        <v>354</v>
      </c>
      <c r="H52" s="9">
        <f t="shared" si="18"/>
        <v>0.5288134626083566</v>
      </c>
      <c r="I52" s="9">
        <f t="shared" si="1"/>
        <v>0.52903763109610924</v>
      </c>
      <c r="J52" s="3">
        <f t="shared" ref="J52:J54" si="25">D52*H52*E52</f>
        <v>337</v>
      </c>
      <c r="K52">
        <f t="shared" si="20"/>
        <v>354.00000000000006</v>
      </c>
      <c r="M52" s="13">
        <f t="shared" si="4"/>
        <v>0.52892554685223292</v>
      </c>
      <c r="N52" s="3">
        <f t="shared" si="21"/>
        <v>337.07142857142861</v>
      </c>
      <c r="O52" s="3">
        <f t="shared" si="6"/>
        <v>353.92500000000007</v>
      </c>
    </row>
    <row r="53" spans="1:15" x14ac:dyDescent="0.25">
      <c r="A53" t="s">
        <v>37</v>
      </c>
      <c r="B53">
        <v>1025</v>
      </c>
      <c r="C53">
        <v>12000</v>
      </c>
      <c r="D53" s="2">
        <f t="shared" si="22"/>
        <v>3168</v>
      </c>
      <c r="E53" s="4">
        <f t="shared" si="24"/>
        <v>0.27575757575757576</v>
      </c>
      <c r="F53">
        <v>1390</v>
      </c>
      <c r="G53">
        <v>1459</v>
      </c>
      <c r="H53" s="9">
        <f t="shared" si="18"/>
        <v>1.591117216117216</v>
      </c>
      <c r="I53" s="9">
        <f t="shared" si="1"/>
        <v>1.5905721262864119</v>
      </c>
      <c r="J53" s="3">
        <f t="shared" si="25"/>
        <v>1389.9999999999998</v>
      </c>
      <c r="K53">
        <f t="shared" si="20"/>
        <v>1459</v>
      </c>
      <c r="M53" s="13">
        <f t="shared" si="4"/>
        <v>1.5908446712018138</v>
      </c>
      <c r="N53" s="3">
        <f t="shared" si="21"/>
        <v>1389.7619047619046</v>
      </c>
      <c r="O53" s="3">
        <f t="shared" si="6"/>
        <v>1459.2499999999998</v>
      </c>
    </row>
    <row r="54" spans="1:15" x14ac:dyDescent="0.25">
      <c r="A54" t="s">
        <v>40</v>
      </c>
      <c r="B54">
        <v>1025</v>
      </c>
      <c r="C54">
        <v>12000</v>
      </c>
      <c r="D54" s="2">
        <f t="shared" si="22"/>
        <v>3168</v>
      </c>
      <c r="E54" s="4">
        <f t="shared" si="24"/>
        <v>0.27575757575757576</v>
      </c>
      <c r="F54">
        <v>462</v>
      </c>
      <c r="G54">
        <v>485</v>
      </c>
      <c r="H54" s="9">
        <f t="shared" si="18"/>
        <v>0.52884615384615385</v>
      </c>
      <c r="I54" s="9">
        <f t="shared" si="1"/>
        <v>0.52873713587999294</v>
      </c>
      <c r="J54" s="3">
        <f t="shared" si="25"/>
        <v>462</v>
      </c>
      <c r="K54">
        <f t="shared" si="20"/>
        <v>484.99999999999994</v>
      </c>
      <c r="M54" s="13">
        <f t="shared" si="4"/>
        <v>0.5287916448630734</v>
      </c>
      <c r="N54" s="3">
        <f t="shared" si="21"/>
        <v>461.95238095238096</v>
      </c>
      <c r="O54" s="3">
        <f t="shared" si="6"/>
        <v>485.05</v>
      </c>
    </row>
    <row r="55" spans="1:15" hidden="1" x14ac:dyDescent="0.25">
      <c r="A55" t="s">
        <v>14</v>
      </c>
      <c r="B55">
        <v>168</v>
      </c>
      <c r="C55">
        <v>12000</v>
      </c>
      <c r="D55" s="2">
        <f t="shared" si="22"/>
        <v>2311</v>
      </c>
      <c r="E55" s="4">
        <f t="shared" si="24"/>
        <v>0.27575757575757576</v>
      </c>
      <c r="F55">
        <v>929</v>
      </c>
      <c r="G55">
        <v>975</v>
      </c>
      <c r="H55" s="9">
        <f t="shared" si="18"/>
        <v>1.4577676758550839</v>
      </c>
      <c r="I55" s="9">
        <f t="shared" si="1"/>
        <v>1.4570951703918262</v>
      </c>
      <c r="J55" s="3">
        <f t="shared" si="23"/>
        <v>929</v>
      </c>
      <c r="K55">
        <f t="shared" si="20"/>
        <v>975.00000000000011</v>
      </c>
      <c r="L55">
        <v>2.5</v>
      </c>
      <c r="M55" s="13">
        <f t="shared" si="4"/>
        <v>1.4574314231234551</v>
      </c>
      <c r="N55" s="3">
        <f t="shared" si="21"/>
        <v>928.78571428571433</v>
      </c>
      <c r="O55" s="3">
        <f t="shared" si="6"/>
        <v>975.22500000000014</v>
      </c>
    </row>
    <row r="56" spans="1:15" hidden="1" x14ac:dyDescent="0.25">
      <c r="A56" t="s">
        <v>25</v>
      </c>
      <c r="B56">
        <v>168</v>
      </c>
      <c r="C56">
        <v>12000</v>
      </c>
      <c r="D56" s="2">
        <f t="shared" si="22"/>
        <v>2311</v>
      </c>
      <c r="E56" s="4">
        <f t="shared" si="24"/>
        <v>0.27575757575757576</v>
      </c>
      <c r="F56">
        <v>211</v>
      </c>
      <c r="G56">
        <v>221</v>
      </c>
      <c r="H56" s="9">
        <f t="shared" si="18"/>
        <v>0.3310968564105734</v>
      </c>
      <c r="I56" s="9">
        <f t="shared" si="1"/>
        <v>0.33027490528881392</v>
      </c>
      <c r="J56" s="3">
        <f t="shared" si="23"/>
        <v>211</v>
      </c>
      <c r="K56">
        <f t="shared" si="20"/>
        <v>221</v>
      </c>
      <c r="M56" s="13">
        <f t="shared" si="4"/>
        <v>0.33068588084969364</v>
      </c>
      <c r="N56" s="3">
        <f t="shared" si="21"/>
        <v>210.73809523809521</v>
      </c>
      <c r="O56" s="3">
        <f t="shared" si="6"/>
        <v>221.27499999999998</v>
      </c>
    </row>
    <row r="57" spans="1:15" x14ac:dyDescent="0.25">
      <c r="A57" t="s">
        <v>38</v>
      </c>
      <c r="B57">
        <v>1025</v>
      </c>
      <c r="C57">
        <v>12000</v>
      </c>
      <c r="D57" s="2">
        <f t="shared" si="22"/>
        <v>3168</v>
      </c>
      <c r="E57" s="4">
        <f t="shared" si="24"/>
        <v>0.27575757575757576</v>
      </c>
      <c r="F57">
        <v>1273</v>
      </c>
      <c r="G57">
        <v>1337</v>
      </c>
      <c r="H57" s="9">
        <f t="shared" si="18"/>
        <v>1.4571886446886446</v>
      </c>
      <c r="I57" s="9">
        <f t="shared" si="1"/>
        <v>1.4575702075702075</v>
      </c>
      <c r="J57" s="3">
        <f t="shared" si="23"/>
        <v>1273</v>
      </c>
      <c r="K57">
        <f t="shared" si="20"/>
        <v>1337</v>
      </c>
      <c r="M57" s="13">
        <f t="shared" si="4"/>
        <v>1.4573794261294259</v>
      </c>
      <c r="N57" s="3">
        <f t="shared" si="21"/>
        <v>1273.1666666666665</v>
      </c>
      <c r="O57" s="3">
        <f t="shared" si="6"/>
        <v>1336.8249999999998</v>
      </c>
    </row>
    <row r="58" spans="1:15" x14ac:dyDescent="0.25">
      <c r="A58" t="s">
        <v>41</v>
      </c>
      <c r="B58">
        <v>1025</v>
      </c>
      <c r="C58">
        <v>12000</v>
      </c>
      <c r="D58" s="2">
        <f t="shared" si="22"/>
        <v>3168</v>
      </c>
      <c r="E58" s="4">
        <f t="shared" si="24"/>
        <v>0.27575757575757576</v>
      </c>
      <c r="F58">
        <v>289</v>
      </c>
      <c r="G58">
        <v>304</v>
      </c>
      <c r="H58" s="9">
        <f t="shared" si="18"/>
        <v>0.33081501831501831</v>
      </c>
      <c r="I58" s="9">
        <f t="shared" si="1"/>
        <v>0.3314146171289028</v>
      </c>
      <c r="J58" s="3">
        <f t="shared" si="23"/>
        <v>289</v>
      </c>
      <c r="K58">
        <f t="shared" si="20"/>
        <v>303.99999999999994</v>
      </c>
      <c r="M58" s="13">
        <f t="shared" si="4"/>
        <v>0.33111481772196055</v>
      </c>
      <c r="N58" s="3">
        <f t="shared" si="21"/>
        <v>289.26190476190476</v>
      </c>
      <c r="O58" s="3">
        <f t="shared" si="6"/>
        <v>303.72500000000002</v>
      </c>
    </row>
    <row r="59" spans="1:15" hidden="1" x14ac:dyDescent="0.25">
      <c r="A59" t="s">
        <v>26</v>
      </c>
      <c r="B59">
        <v>198</v>
      </c>
      <c r="C59">
        <v>12000</v>
      </c>
      <c r="D59" s="2">
        <f t="shared" si="22"/>
        <v>2341</v>
      </c>
      <c r="E59" s="4">
        <f t="shared" si="24"/>
        <v>0.27575757575757576</v>
      </c>
      <c r="F59">
        <f>371*2</f>
        <v>742</v>
      </c>
      <c r="G59">
        <f>390*2</f>
        <v>780</v>
      </c>
      <c r="H59" s="9">
        <f t="shared" si="18"/>
        <v>1.149410179739099</v>
      </c>
      <c r="I59" s="9">
        <f t="shared" si="1"/>
        <v>1.1507379543017551</v>
      </c>
      <c r="J59" s="3">
        <f t="shared" si="23"/>
        <v>741.99999999999989</v>
      </c>
      <c r="K59">
        <f t="shared" si="20"/>
        <v>780.00000000000023</v>
      </c>
      <c r="L59">
        <v>1.8</v>
      </c>
      <c r="M59" s="13">
        <f t="shared" si="4"/>
        <v>1.150074067020427</v>
      </c>
      <c r="N59" s="3">
        <f t="shared" si="21"/>
        <v>742.42857142857144</v>
      </c>
      <c r="O59" s="3">
        <f t="shared" si="6"/>
        <v>779.55000000000007</v>
      </c>
    </row>
    <row r="60" spans="1:15" x14ac:dyDescent="0.25">
      <c r="A60" t="s">
        <v>39</v>
      </c>
      <c r="B60">
        <v>1207</v>
      </c>
      <c r="C60">
        <v>12000</v>
      </c>
      <c r="D60" s="2">
        <f t="shared" si="22"/>
        <v>3350</v>
      </c>
      <c r="E60" s="4">
        <f t="shared" si="24"/>
        <v>0.27575757575757576</v>
      </c>
      <c r="F60">
        <f>532*2</f>
        <v>1064</v>
      </c>
      <c r="G60">
        <f>558*2</f>
        <v>1116</v>
      </c>
      <c r="H60" s="9">
        <f t="shared" si="18"/>
        <v>1.1517795637198622</v>
      </c>
      <c r="I60" s="9">
        <f t="shared" si="1"/>
        <v>1.150542421331334</v>
      </c>
      <c r="J60" s="3">
        <f t="shared" si="23"/>
        <v>1064</v>
      </c>
      <c r="K60">
        <f t="shared" si="20"/>
        <v>1116.0000000000002</v>
      </c>
      <c r="M60" s="13">
        <f t="shared" si="4"/>
        <v>1.1511609925255981</v>
      </c>
      <c r="N60" s="3">
        <f t="shared" si="21"/>
        <v>1063.4285714285713</v>
      </c>
      <c r="O60" s="3">
        <f t="shared" si="6"/>
        <v>1116.5999999999999</v>
      </c>
    </row>
    <row r="65" spans="1:2" x14ac:dyDescent="0.25">
      <c r="A65" s="12" t="s">
        <v>45</v>
      </c>
    </row>
    <row r="66" spans="1:2" x14ac:dyDescent="0.25">
      <c r="A66">
        <f>(2980+21020/10.5)*(0.5*(18200)/33000)*H60</f>
        <v>1582.3124378109451</v>
      </c>
      <c r="B66" t="s">
        <v>46</v>
      </c>
    </row>
    <row r="67" spans="1:2" x14ac:dyDescent="0.25">
      <c r="A67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Hamish Moore</dc:creator>
  <cp:lastModifiedBy>Hamish Moore</cp:lastModifiedBy>
  <dcterms:created xsi:type="dcterms:W3CDTF">2026-02-01T01:09:19Z</dcterms:created>
  <dcterms:modified xsi:type="dcterms:W3CDTF">2026-02-01T06:27:57Z</dcterms:modified>
</cp:coreProperties>
</file>